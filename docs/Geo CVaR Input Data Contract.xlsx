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rji\OneDrive\Desktop\gitHub\Project_4 Geo CVaR\"/>
    </mc:Choice>
  </mc:AlternateContent>
  <xr:revisionPtr revIDLastSave="0" documentId="13_ncr:1_{157BEE21-7B08-45BF-9557-51CFBB42F64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sset Inventory" sheetId="1" r:id="rId1"/>
    <sheet name="Vulnerability Rules" sheetId="2" r:id="rId2"/>
    <sheet name="Scenario Settings" sheetId="3" r:id="rId3"/>
    <sheet name="Hazard Definitions" sheetId="4" r:id="rId4"/>
    <sheet name="Asset Cost Assumptions" sheetId="5" r:id="rId5"/>
  </sheets>
  <definedNames>
    <definedName name="CAPTABLE">'Asset Inventory'!$W$3:$X$13</definedName>
    <definedName name="CAPTB">'Asset Inventory'!$W$3:$X$10</definedName>
    <definedName name="CAPTB2">'Asset Inventory'!$W$3:$Y$10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4" i="1" l="1"/>
  <c r="H70" i="1"/>
  <c r="H73" i="1"/>
  <c r="H49" i="1"/>
  <c r="H28" i="1"/>
  <c r="H100" i="1"/>
  <c r="H97" i="1"/>
  <c r="H91" i="1"/>
  <c r="H90" i="1"/>
  <c r="H87" i="1"/>
  <c r="H86" i="1"/>
  <c r="H82" i="1"/>
  <c r="H76" i="1"/>
  <c r="H74" i="1"/>
  <c r="H50" i="1"/>
  <c r="H48" i="1"/>
  <c r="H46" i="1"/>
  <c r="H43" i="1"/>
  <c r="H38" i="1"/>
  <c r="H33" i="1"/>
  <c r="H31" i="1"/>
  <c r="H24" i="1"/>
  <c r="H21" i="1"/>
  <c r="H13" i="1"/>
  <c r="H8" i="1"/>
  <c r="H89" i="1"/>
  <c r="H88" i="1"/>
  <c r="H84" i="1"/>
  <c r="H83" i="1"/>
  <c r="H79" i="1"/>
  <c r="H72" i="1"/>
  <c r="H57" i="1"/>
  <c r="H52" i="1"/>
  <c r="H27" i="1"/>
  <c r="H15" i="1"/>
  <c r="H14" i="1"/>
  <c r="H99" i="1"/>
  <c r="H92" i="1"/>
  <c r="H81" i="1"/>
  <c r="H80" i="1"/>
  <c r="H77" i="1"/>
  <c r="H75" i="1"/>
  <c r="H69" i="1"/>
  <c r="H60" i="1"/>
  <c r="H53" i="1"/>
  <c r="H45" i="1"/>
  <c r="H44" i="1"/>
  <c r="H29" i="1"/>
  <c r="H25" i="1"/>
  <c r="H7" i="1"/>
  <c r="H6" i="1"/>
  <c r="H61" i="1"/>
  <c r="H9" i="1"/>
  <c r="H85" i="1"/>
  <c r="H37" i="1"/>
  <c r="H23" i="1"/>
  <c r="H17" i="1"/>
  <c r="H5" i="1"/>
  <c r="H4" i="1"/>
  <c r="H101" i="1"/>
  <c r="H98" i="1"/>
  <c r="H96" i="1"/>
  <c r="H95" i="1"/>
  <c r="H94" i="1"/>
  <c r="H93" i="1"/>
  <c r="H59" i="1"/>
  <c r="H55" i="1"/>
  <c r="H54" i="1"/>
  <c r="H51" i="1"/>
  <c r="H47" i="1"/>
  <c r="H30" i="1"/>
  <c r="H22" i="1"/>
  <c r="H20" i="1"/>
  <c r="H19" i="1"/>
  <c r="H16" i="1"/>
  <c r="H12" i="1"/>
  <c r="H11" i="1"/>
  <c r="H3" i="1"/>
  <c r="H78" i="1"/>
  <c r="H71" i="1"/>
  <c r="H66" i="1"/>
  <c r="H67" i="1"/>
  <c r="H68" i="1"/>
  <c r="H65" i="1"/>
  <c r="H63" i="1"/>
  <c r="H62" i="1"/>
  <c r="H58" i="1"/>
  <c r="H56" i="1"/>
  <c r="H40" i="1"/>
  <c r="H41" i="1"/>
  <c r="H42" i="1"/>
  <c r="H39" i="1"/>
  <c r="H36" i="1"/>
  <c r="H35" i="1"/>
  <c r="H34" i="1"/>
  <c r="H32" i="1"/>
  <c r="H26" i="1"/>
  <c r="H18" i="1"/>
  <c r="H10" i="1"/>
  <c r="H2" i="1"/>
</calcChain>
</file>

<file path=xl/sharedStrings.xml><?xml version="1.0" encoding="utf-8"?>
<sst xmlns="http://schemas.openxmlformats.org/spreadsheetml/2006/main" count="869" uniqueCount="271">
  <si>
    <t>country</t>
  </si>
  <si>
    <t>country_code</t>
  </si>
  <si>
    <t>region</t>
  </si>
  <si>
    <t>asset_name</t>
  </si>
  <si>
    <t>capacity_mw</t>
  </si>
  <si>
    <t>commissioning_year</t>
  </si>
  <si>
    <t>asset_id</t>
  </si>
  <si>
    <t>asset_type</t>
  </si>
  <si>
    <t>latitude</t>
  </si>
  <si>
    <t>longitude</t>
  </si>
  <si>
    <t>primary_fuel</t>
  </si>
  <si>
    <t>exposure_type</t>
  </si>
  <si>
    <t>exposure_flag</t>
  </si>
  <si>
    <t>Argentina</t>
  </si>
  <si>
    <t>ARG</t>
  </si>
  <si>
    <t>South America</t>
  </si>
  <si>
    <t>CENTRAL TERMOELECTRICA MANUEL BELGRANO</t>
  </si>
  <si>
    <t>ENERGY</t>
  </si>
  <si>
    <t>Gas</t>
  </si>
  <si>
    <t>ALVAREZ CONDARCO</t>
  </si>
  <si>
    <t>Hydro</t>
  </si>
  <si>
    <t>CENTRAL TERMICA PIQUIRENDA SA</t>
  </si>
  <si>
    <t>Oil</t>
  </si>
  <si>
    <t>ATUCHA II</t>
  </si>
  <si>
    <t>Nuclear</t>
  </si>
  <si>
    <t>CENTRAL BAHIA BLANCA (PIEDRA BUENA) SA</t>
  </si>
  <si>
    <t>Coal</t>
  </si>
  <si>
    <t>Cafayate</t>
  </si>
  <si>
    <t>Solar</t>
  </si>
  <si>
    <t>COMODORO RIVADAVIA - ANTONIO MORAN</t>
  </si>
  <si>
    <t>Wind</t>
  </si>
  <si>
    <t>EMBALSE</t>
  </si>
  <si>
    <t>CENTRAL TERMICA BRIGADIER LOPEZ (ENARSA)</t>
  </si>
  <si>
    <t>CH LOS CARACOLES</t>
  </si>
  <si>
    <t>Australia</t>
  </si>
  <si>
    <t>AUS</t>
  </si>
  <si>
    <t>Australia &amp; Oceania</t>
  </si>
  <si>
    <t>Bendeela (Shoalhaven Scheme)</t>
  </si>
  <si>
    <t>Capital Hill Wind Farm</t>
  </si>
  <si>
    <t>Clare Solar Farm</t>
  </si>
  <si>
    <t>Gannawarra Solar Farm</t>
  </si>
  <si>
    <t>Hume</t>
  </si>
  <si>
    <t>Port Lincoln</t>
  </si>
  <si>
    <t>Wagerup</t>
  </si>
  <si>
    <t>Wivenhoe Hydroelectric</t>
  </si>
  <si>
    <t>Wyangala A</t>
  </si>
  <si>
    <t>Yaloak South Wind Farm</t>
  </si>
  <si>
    <t>Brazil</t>
  </si>
  <si>
    <t>BRA</t>
  </si>
  <si>
    <t>14 de Julho</t>
  </si>
  <si>
    <t>Alcoa Beneficiamento</t>
  </si>
  <si>
    <t>Alegria II</t>
  </si>
  <si>
    <t>Alunorte</t>
  </si>
  <si>
    <t>AraucÃ¡ria</t>
  </si>
  <si>
    <t>TauÃ¡</t>
  </si>
  <si>
    <t>UFL</t>
  </si>
  <si>
    <t>Biomass</t>
  </si>
  <si>
    <t>Porto do Itaqui (Antiga TermomaranhÃ£o)</t>
  </si>
  <si>
    <t>UnaÃ­ Baixo</t>
  </si>
  <si>
    <t>Xangri-lÃ¡</t>
  </si>
  <si>
    <t>Canada</t>
  </si>
  <si>
    <t>CAN</t>
  </si>
  <si>
    <t>North America</t>
  </si>
  <si>
    <t>Algoma Cogeneration</t>
  </si>
  <si>
    <t>Armow</t>
  </si>
  <si>
    <t>Kearl</t>
  </si>
  <si>
    <t>GTAA Cogeneration</t>
  </si>
  <si>
    <t>Carseland</t>
  </si>
  <si>
    <t>Charlottetown Thermal Generating Station</t>
  </si>
  <si>
    <t>Comber East / West</t>
  </si>
  <si>
    <t>Ermine</t>
  </si>
  <si>
    <t>East Windsor Cogeneration</t>
  </si>
  <si>
    <t>Spy Hill</t>
  </si>
  <si>
    <t>Germany</t>
  </si>
  <si>
    <t>GER</t>
  </si>
  <si>
    <t>Europe</t>
  </si>
  <si>
    <t>ADS-Anlage</t>
  </si>
  <si>
    <t>Amrumbank West</t>
  </si>
  <si>
    <t>BoA 2</t>
  </si>
  <si>
    <t>Cologne-Merkenich power station</t>
  </si>
  <si>
    <t>Global Tech I</t>
  </si>
  <si>
    <t>KW Rheinfelden</t>
  </si>
  <si>
    <t>Meerwind SÃ¼dIOst</t>
  </si>
  <si>
    <t>Steinbeis Energie</t>
  </si>
  <si>
    <t>Waste</t>
  </si>
  <si>
    <t>Trianel Windpark Borkum</t>
  </si>
  <si>
    <t>WKW</t>
  </si>
  <si>
    <t>India</t>
  </si>
  <si>
    <t>IND</t>
  </si>
  <si>
    <t>Asia</t>
  </si>
  <si>
    <t>ACME Solar Tower</t>
  </si>
  <si>
    <t>AVANTHA BHANDAR TPP</t>
  </si>
  <si>
    <t>BAGLIHAR HEP</t>
  </si>
  <si>
    <t>BHAWANI KATTALAI -II</t>
  </si>
  <si>
    <t>DGEN MEGA CCCP</t>
  </si>
  <si>
    <t>Dhursar</t>
  </si>
  <si>
    <t>GAMA CCPP Module - 1</t>
  </si>
  <si>
    <t>KISHENGANGA</t>
  </si>
  <si>
    <t>KUDGI</t>
  </si>
  <si>
    <t>KUNDANKULAM</t>
  </si>
  <si>
    <t>Italy</t>
  </si>
  <si>
    <t>ITA</t>
  </si>
  <si>
    <t>CTE TAMARETE</t>
  </si>
  <si>
    <t>ENERGIA MOLISE</t>
  </si>
  <si>
    <t>NUOVA SAN MARTINO</t>
  </si>
  <si>
    <t>Geothermal</t>
  </si>
  <si>
    <t>SERMIDE</t>
  </si>
  <si>
    <t>SORGENIA PUGLIA CENTRALE DI MODUGNO</t>
  </si>
  <si>
    <t>Santa Barbara</t>
  </si>
  <si>
    <t>TAVAZZANO</t>
  </si>
  <si>
    <t>Torrevaldaliga Nord power station</t>
  </si>
  <si>
    <t>SASSO 2</t>
  </si>
  <si>
    <t>VADO Ligure</t>
  </si>
  <si>
    <t>Japan</t>
  </si>
  <si>
    <t>JPN</t>
  </si>
  <si>
    <t>Boyo Kushiro</t>
  </si>
  <si>
    <t>Fukuyama Recyling Power</t>
  </si>
  <si>
    <t>Hirokawa-Hidakagawa</t>
  </si>
  <si>
    <t>Hitachinaka power station</t>
  </si>
  <si>
    <t>Ikata Wind</t>
  </si>
  <si>
    <t>Kansai Sendai power station</t>
  </si>
  <si>
    <t>Kawasaki CCGT</t>
  </si>
  <si>
    <t>Masuura Kushiro</t>
  </si>
  <si>
    <t>Mizushima Energy Center</t>
  </si>
  <si>
    <t>Nagoya Power Plant 2</t>
  </si>
  <si>
    <t>South Africa</t>
  </si>
  <si>
    <t>ZAF</t>
  </si>
  <si>
    <t>Africa</t>
  </si>
  <si>
    <t>Amakhala Emoyeni Wind Farm</t>
  </si>
  <si>
    <t>Aries Solar Power Plant</t>
  </si>
  <si>
    <t>De Aar 3 Solar Power Plant</t>
  </si>
  <si>
    <t>Gourikwa</t>
  </si>
  <si>
    <t>Jeffrey's Bay Wind Farm</t>
  </si>
  <si>
    <t>Loeriesfontein 2</t>
  </si>
  <si>
    <t>Mulilo Sonnedix Prieska</t>
  </si>
  <si>
    <t>Pulida Solar Park</t>
  </si>
  <si>
    <t>Sere</t>
  </si>
  <si>
    <t>Waainek Wind Farm</t>
  </si>
  <si>
    <t>Vietnam</t>
  </si>
  <si>
    <t>VNM</t>
  </si>
  <si>
    <t>An Khanh I</t>
  </si>
  <si>
    <t>Coc San</t>
  </si>
  <si>
    <t>Dak Sin 1</t>
  </si>
  <si>
    <t>Dong Nai 2</t>
  </si>
  <si>
    <t>Krong No 3</t>
  </si>
  <si>
    <t>Phuong Mai 3</t>
  </si>
  <si>
    <t>Song Bung 4</t>
  </si>
  <si>
    <t>Thai Binh Power Center</t>
  </si>
  <si>
    <t>Thuan Nhien Phong</t>
  </si>
  <si>
    <t>Yan-Tann-Sien</t>
  </si>
  <si>
    <t>hazard_type</t>
  </si>
  <si>
    <t>ARG_ENERGY_001</t>
  </si>
  <si>
    <t>AUS_ENERGY_001</t>
  </si>
  <si>
    <t>BRA_ENERGY_001</t>
  </si>
  <si>
    <t>ARG_ENERGY_002</t>
  </si>
  <si>
    <t>ARG_ENERGY_003</t>
  </si>
  <si>
    <t>ARG_ENERGY_004</t>
  </si>
  <si>
    <t>ARG_ENERGY_005</t>
  </si>
  <si>
    <t>ARG_ENERGY_006</t>
  </si>
  <si>
    <t>ARG_ENERGY_007</t>
  </si>
  <si>
    <t>ARG_ENERGY_008</t>
  </si>
  <si>
    <t>ARG_ENERGY_009</t>
  </si>
  <si>
    <t>ARG_ENERGY_010</t>
  </si>
  <si>
    <t>AUS_ENERGY_002</t>
  </si>
  <si>
    <t>AUS_ENERGY_003</t>
  </si>
  <si>
    <t>AUS_ENERGY_004</t>
  </si>
  <si>
    <t>AUS_ENERGY_005</t>
  </si>
  <si>
    <t>AUS_ENERGY_006</t>
  </si>
  <si>
    <t>AUS_ENERGY_007</t>
  </si>
  <si>
    <t>AUS_ENERGY_008</t>
  </si>
  <si>
    <t>AUS_ENERGY_009</t>
  </si>
  <si>
    <t>AUS_ENERGY_010</t>
  </si>
  <si>
    <t>CAN_ENERGY_001</t>
  </si>
  <si>
    <t>BRA_ENERGY_002</t>
  </si>
  <si>
    <t>BRA_ENERGY_003</t>
  </si>
  <si>
    <t>BRA_ENERGY_004</t>
  </si>
  <si>
    <t>BRA_ENERGY_005</t>
  </si>
  <si>
    <t>BRA_ENERGY_006</t>
  </si>
  <si>
    <t>BRA_ENERGY_007</t>
  </si>
  <si>
    <t>BRA_ENERGY_008</t>
  </si>
  <si>
    <t>BRA_ENERGY_009</t>
  </si>
  <si>
    <t>BRA_ENERGY_010</t>
  </si>
  <si>
    <t>GER_ENERGY_001</t>
  </si>
  <si>
    <t>CAN_ENERGY_002</t>
  </si>
  <si>
    <t>CAN_ENERGY_003</t>
  </si>
  <si>
    <t>CAN_ENERGY_004</t>
  </si>
  <si>
    <t>CAN_ENERGY_005</t>
  </si>
  <si>
    <t>CAN_ENERGY_006</t>
  </si>
  <si>
    <t>CAN_ENERGY_007</t>
  </si>
  <si>
    <t>CAN_ENERGY_008</t>
  </si>
  <si>
    <t>CAN_ENERGY_009</t>
  </si>
  <si>
    <t>CAN_ENERGY_010</t>
  </si>
  <si>
    <t>IND_ENERGY_001</t>
  </si>
  <si>
    <t>ITA_ENERGY_001</t>
  </si>
  <si>
    <t>GER_ENERGY_002</t>
  </si>
  <si>
    <t>GER_ENERGY_003</t>
  </si>
  <si>
    <t>GER_ENERGY_004</t>
  </si>
  <si>
    <t>GER_ENERGY_005</t>
  </si>
  <si>
    <t>GER_ENERGY_006</t>
  </si>
  <si>
    <t>GER_ENERGY_007</t>
  </si>
  <si>
    <t>GER_ENERGY_008</t>
  </si>
  <si>
    <t>GER_ENERGY_009</t>
  </si>
  <si>
    <t>GER_ENERGY_010</t>
  </si>
  <si>
    <t>JPN_ENERGY_001</t>
  </si>
  <si>
    <t>IND_ENERGY_002</t>
  </si>
  <si>
    <t>IND_ENERGY_003</t>
  </si>
  <si>
    <t>IND_ENERGY_004</t>
  </si>
  <si>
    <t>IND_ENERGY_005</t>
  </si>
  <si>
    <t>IND_ENERGY_006</t>
  </si>
  <si>
    <t>IND_ENERGY_007</t>
  </si>
  <si>
    <t>IND_ENERGY_008</t>
  </si>
  <si>
    <t>IND_ENERGY_009</t>
  </si>
  <si>
    <t>IND_ENERGY_010</t>
  </si>
  <si>
    <t>ZAF_ENERGY_001</t>
  </si>
  <si>
    <t>ITA_ENERGY_002</t>
  </si>
  <si>
    <t>ITA_ENERGY_003</t>
  </si>
  <si>
    <t>ITA_ENERGY_004</t>
  </si>
  <si>
    <t>ITA_ENERGY_005</t>
  </si>
  <si>
    <t>ITA_ENERGY_006</t>
  </si>
  <si>
    <t>ITA_ENERGY_007</t>
  </si>
  <si>
    <t>ITA_ENERGY_008</t>
  </si>
  <si>
    <t>ITA_ENERGY_009</t>
  </si>
  <si>
    <t>ITA_ENERGY_010</t>
  </si>
  <si>
    <t>VNM_ENERGY_001</t>
  </si>
  <si>
    <t>JPN_ENERGY_002</t>
  </si>
  <si>
    <t>JPN_ENERGY_003</t>
  </si>
  <si>
    <t>JPN_ENERGY_004</t>
  </si>
  <si>
    <t>JPN_ENERGY_005</t>
  </si>
  <si>
    <t>JPN_ENERGY_006</t>
  </si>
  <si>
    <t>JPN_ENERGY_007</t>
  </si>
  <si>
    <t>JPN_ENERGY_008</t>
  </si>
  <si>
    <t>JPN_ENERGY_009</t>
  </si>
  <si>
    <t>JPN_ENERGY_010</t>
  </si>
  <si>
    <t>ZAF_ENERGY_002</t>
  </si>
  <si>
    <t>ZAF_ENERGY_003</t>
  </si>
  <si>
    <t>ZAF_ENERGY_004</t>
  </si>
  <si>
    <t>ZAF_ENERGY_005</t>
  </si>
  <si>
    <t>ZAF_ENERGY_006</t>
  </si>
  <si>
    <t>ZAF_ENERGY_007</t>
  </si>
  <si>
    <t>ZAF_ENERGY_008</t>
  </si>
  <si>
    <t>ZAF_ENERGY_009</t>
  </si>
  <si>
    <t>ZAF_ENERGY_010</t>
  </si>
  <si>
    <t>VNM_ENERGY_002</t>
  </si>
  <si>
    <t>VNM_ENERGY_003</t>
  </si>
  <si>
    <t>VNM_ENERGY_004</t>
  </si>
  <si>
    <t>VNM_ENERGY_005</t>
  </si>
  <si>
    <t>VNM_ENERGY_006</t>
  </si>
  <si>
    <t>VNM_ENERGY_007</t>
  </si>
  <si>
    <t>VNM_ENERGY_008</t>
  </si>
  <si>
    <t>VNM_ENERGY_009</t>
  </si>
  <si>
    <t>VNM_ENERGY_010</t>
  </si>
  <si>
    <t>vulnerability_score</t>
  </si>
  <si>
    <t>HEAT</t>
  </si>
  <si>
    <t>FLOOD</t>
  </si>
  <si>
    <t>DROUGHT</t>
  </si>
  <si>
    <t>STORM</t>
  </si>
  <si>
    <t>scenario</t>
  </si>
  <si>
    <t>description</t>
  </si>
  <si>
    <t>Strong climate action</t>
  </si>
  <si>
    <t>ORDERLY</t>
  </si>
  <si>
    <t>CURRENT</t>
  </si>
  <si>
    <t>HOT</t>
  </si>
  <si>
    <t>Policies unchanged</t>
  </si>
  <si>
    <t>Worst-case world</t>
  </si>
  <si>
    <t>Extreme temperature events</t>
  </si>
  <si>
    <t>River / coastal flooding</t>
  </si>
  <si>
    <t>Water stress</t>
  </si>
  <si>
    <t>Cyclones, strong winds</t>
  </si>
  <si>
    <t>cost_per_mw_usd</t>
  </si>
  <si>
    <t>asset_value_mln_usd</t>
  </si>
  <si>
    <t>temp_increases_in_C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</si>
</sst>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A0A0A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0A0A0A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DFE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0" fontId="6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2" borderId="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1"/>
  <sheetViews>
    <sheetView tabSelected="1" topLeftCell="M1" workbookViewId="0">
      <selection activeCell="U16" sqref="U16"/>
    </sheetView>
  </sheetViews>
  <sheetFormatPr defaultColWidth="12.59765625" defaultRowHeight="15.75" customHeight="1" x14ac:dyDescent="0.35"/>
  <cols>
    <col min="1" max="1" width="14" style="5" customWidth="1"/>
    <col min="2" max="2" width="12.59765625" style="5"/>
    <col min="3" max="3" width="19.86328125" style="5" customWidth="1"/>
    <col min="4" max="4" width="32.33203125" style="5" customWidth="1"/>
    <col min="5" max="5" width="19.19921875" style="5" customWidth="1"/>
    <col min="6" max="6" width="12.59765625" style="5"/>
    <col min="7" max="7" width="21.06640625" style="5" customWidth="1"/>
    <col min="8" max="8" width="21.265625" style="5" customWidth="1"/>
    <col min="9" max="12" width="12.59765625" style="5"/>
    <col min="13" max="13" width="14.53125" style="5" customWidth="1"/>
    <col min="14" max="14" width="14.59765625" style="5" customWidth="1"/>
    <col min="15" max="15" width="20.1328125" style="5" customWidth="1"/>
    <col min="16" max="16384" width="12.59765625" style="5"/>
  </cols>
  <sheetData>
    <row r="1" spans="1:25" ht="12.7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6</v>
      </c>
      <c r="F1" s="7" t="s">
        <v>4</v>
      </c>
      <c r="G1" s="7" t="s">
        <v>5</v>
      </c>
      <c r="H1" s="7" t="s">
        <v>269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/>
      <c r="P1" s="7"/>
    </row>
    <row r="2" spans="1:25" ht="15.75" customHeight="1" x14ac:dyDescent="0.35">
      <c r="A2" s="7" t="s">
        <v>13</v>
      </c>
      <c r="B2" s="7" t="s">
        <v>14</v>
      </c>
      <c r="C2" s="7" t="s">
        <v>15</v>
      </c>
      <c r="D2" s="7" t="s">
        <v>16</v>
      </c>
      <c r="E2" s="7" t="s">
        <v>151</v>
      </c>
      <c r="F2" s="7">
        <v>868.2</v>
      </c>
      <c r="G2" s="7">
        <v>2008</v>
      </c>
      <c r="H2" s="7">
        <f>(F2*900000)/1000000</f>
        <v>781.38</v>
      </c>
      <c r="I2" s="7" t="s">
        <v>17</v>
      </c>
      <c r="J2" s="8">
        <v>-24.689399999999999</v>
      </c>
      <c r="K2" s="8">
        <v>-65.042500000000004</v>
      </c>
      <c r="L2" s="7" t="s">
        <v>18</v>
      </c>
      <c r="O2" s="7"/>
      <c r="P2" s="7"/>
    </row>
    <row r="3" spans="1:25" ht="15.75" customHeight="1" x14ac:dyDescent="0.4">
      <c r="A3" s="7" t="s">
        <v>13</v>
      </c>
      <c r="B3" s="7" t="s">
        <v>14</v>
      </c>
      <c r="C3" s="7" t="s">
        <v>15</v>
      </c>
      <c r="D3" s="9" t="s">
        <v>19</v>
      </c>
      <c r="E3" s="7" t="s">
        <v>154</v>
      </c>
      <c r="F3" s="7">
        <v>50.7</v>
      </c>
      <c r="G3" s="7">
        <v>2003</v>
      </c>
      <c r="H3" s="7">
        <f>(F3*2000000)/1000000</f>
        <v>101.4</v>
      </c>
      <c r="I3" s="7" t="s">
        <v>17</v>
      </c>
      <c r="J3" s="8">
        <v>-33.045200000000001</v>
      </c>
      <c r="K3" s="8">
        <v>-69.051599999999993</v>
      </c>
      <c r="L3" s="7" t="s">
        <v>20</v>
      </c>
      <c r="O3" s="7"/>
      <c r="P3" s="7"/>
      <c r="W3" s="10"/>
      <c r="X3" s="10"/>
      <c r="Y3" s="11"/>
    </row>
    <row r="4" spans="1:25" ht="15.75" customHeight="1" x14ac:dyDescent="0.35">
      <c r="A4" s="7" t="s">
        <v>13</v>
      </c>
      <c r="B4" s="7" t="s">
        <v>14</v>
      </c>
      <c r="C4" s="7" t="s">
        <v>15</v>
      </c>
      <c r="D4" s="7" t="s">
        <v>21</v>
      </c>
      <c r="E4" s="7" t="s">
        <v>155</v>
      </c>
      <c r="F4" s="7">
        <v>30.44</v>
      </c>
      <c r="G4" s="7">
        <v>2010</v>
      </c>
      <c r="H4" s="7">
        <f>(F4*1100000)/1000000</f>
        <v>33.484000000000002</v>
      </c>
      <c r="I4" s="7" t="s">
        <v>17</v>
      </c>
      <c r="J4" s="8">
        <v>-22.349699999999999</v>
      </c>
      <c r="K4" s="8">
        <v>-63.766399999999997</v>
      </c>
      <c r="L4" s="7" t="s">
        <v>22</v>
      </c>
      <c r="O4" s="7"/>
      <c r="P4" s="7"/>
      <c r="W4" s="12"/>
      <c r="X4" s="12"/>
      <c r="Y4" s="12"/>
    </row>
    <row r="5" spans="1:25" ht="15.75" customHeight="1" x14ac:dyDescent="0.35">
      <c r="A5" s="7" t="s">
        <v>13</v>
      </c>
      <c r="B5" s="7" t="s">
        <v>14</v>
      </c>
      <c r="C5" s="7" t="s">
        <v>15</v>
      </c>
      <c r="D5" s="7" t="s">
        <v>23</v>
      </c>
      <c r="E5" s="7" t="s">
        <v>156</v>
      </c>
      <c r="F5" s="7">
        <v>745</v>
      </c>
      <c r="G5" s="7">
        <v>2014</v>
      </c>
      <c r="H5" s="7">
        <f>(F5*6000000)/1000000</f>
        <v>4470</v>
      </c>
      <c r="I5" s="7" t="s">
        <v>17</v>
      </c>
      <c r="J5" s="8">
        <v>-33.967399999999998</v>
      </c>
      <c r="K5" s="8">
        <v>-59.204500000000003</v>
      </c>
      <c r="L5" s="7" t="s">
        <v>24</v>
      </c>
      <c r="O5" s="7"/>
      <c r="P5" s="7"/>
      <c r="W5" s="12"/>
      <c r="X5" s="12"/>
      <c r="Y5" s="12"/>
    </row>
    <row r="6" spans="1:25" ht="15.75" customHeight="1" x14ac:dyDescent="0.35">
      <c r="A6" s="7" t="s">
        <v>13</v>
      </c>
      <c r="B6" s="7" t="s">
        <v>14</v>
      </c>
      <c r="C6" s="7" t="s">
        <v>15</v>
      </c>
      <c r="D6" s="7" t="s">
        <v>25</v>
      </c>
      <c r="E6" s="7" t="s">
        <v>157</v>
      </c>
      <c r="F6" s="7">
        <v>620</v>
      </c>
      <c r="G6" s="7">
        <v>1990</v>
      </c>
      <c r="H6" s="7">
        <f>(F6*2000000)/1000000</f>
        <v>1240</v>
      </c>
      <c r="I6" s="7" t="s">
        <v>17</v>
      </c>
      <c r="J6" s="8">
        <v>-38.787199999999999</v>
      </c>
      <c r="K6" s="8">
        <v>-62.253599999999999</v>
      </c>
      <c r="L6" s="7" t="s">
        <v>26</v>
      </c>
      <c r="O6" s="7"/>
      <c r="P6" s="7"/>
      <c r="W6" s="12"/>
      <c r="X6" s="12"/>
      <c r="Y6" s="12"/>
    </row>
    <row r="7" spans="1:25" ht="15.75" customHeight="1" x14ac:dyDescent="0.35">
      <c r="A7" s="7" t="s">
        <v>13</v>
      </c>
      <c r="B7" s="7" t="s">
        <v>14</v>
      </c>
      <c r="C7" s="7" t="s">
        <v>15</v>
      </c>
      <c r="D7" s="7" t="s">
        <v>27</v>
      </c>
      <c r="E7" s="7" t="s">
        <v>158</v>
      </c>
      <c r="F7" s="7">
        <v>80</v>
      </c>
      <c r="G7" s="5">
        <v>2019</v>
      </c>
      <c r="H7" s="7">
        <f>(F7*700000)/1000000</f>
        <v>56</v>
      </c>
      <c r="I7" s="7" t="s">
        <v>17</v>
      </c>
      <c r="J7" s="8">
        <v>-26.04</v>
      </c>
      <c r="K7" s="8">
        <v>-65.930000000000007</v>
      </c>
      <c r="L7" s="7" t="s">
        <v>28</v>
      </c>
      <c r="O7" s="7"/>
      <c r="P7" s="7"/>
      <c r="W7" s="12"/>
      <c r="X7" s="12"/>
      <c r="Y7" s="12"/>
    </row>
    <row r="8" spans="1:25" ht="15.75" customHeight="1" x14ac:dyDescent="0.35">
      <c r="A8" s="7" t="s">
        <v>13</v>
      </c>
      <c r="B8" s="7" t="s">
        <v>14</v>
      </c>
      <c r="C8" s="7" t="s">
        <v>15</v>
      </c>
      <c r="D8" s="7" t="s">
        <v>29</v>
      </c>
      <c r="E8" s="7" t="s">
        <v>159</v>
      </c>
      <c r="F8" s="7">
        <v>16.559999999999999</v>
      </c>
      <c r="G8" s="5">
        <v>2000</v>
      </c>
      <c r="H8" s="7">
        <f>(F8*1300000)/1000000</f>
        <v>21.527999999999999</v>
      </c>
      <c r="I8" s="7" t="s">
        <v>17</v>
      </c>
      <c r="J8" s="8">
        <v>-45.846699999999998</v>
      </c>
      <c r="K8" s="8">
        <v>-67.496399999999994</v>
      </c>
      <c r="L8" s="7" t="s">
        <v>30</v>
      </c>
      <c r="O8" s="7"/>
      <c r="P8" s="7"/>
      <c r="W8" s="12"/>
      <c r="X8" s="12"/>
      <c r="Y8" s="12"/>
    </row>
    <row r="9" spans="1:25" ht="15.75" customHeight="1" x14ac:dyDescent="0.35">
      <c r="A9" s="7" t="s">
        <v>13</v>
      </c>
      <c r="B9" s="7" t="s">
        <v>14</v>
      </c>
      <c r="C9" s="7" t="s">
        <v>15</v>
      </c>
      <c r="D9" s="7" t="s">
        <v>31</v>
      </c>
      <c r="E9" s="7" t="s">
        <v>160</v>
      </c>
      <c r="F9" s="7">
        <v>648</v>
      </c>
      <c r="G9" s="7">
        <v>1984</v>
      </c>
      <c r="H9" s="7">
        <f>(F9*6000000)/1000000</f>
        <v>3888</v>
      </c>
      <c r="I9" s="7" t="s">
        <v>17</v>
      </c>
      <c r="J9" s="8">
        <v>-32.2316</v>
      </c>
      <c r="K9" s="8">
        <v>-64.4422</v>
      </c>
      <c r="L9" s="7" t="s">
        <v>24</v>
      </c>
      <c r="O9" s="7"/>
      <c r="P9" s="7"/>
      <c r="W9" s="12"/>
      <c r="X9" s="12"/>
      <c r="Y9" s="12"/>
    </row>
    <row r="10" spans="1:25" ht="15.75" customHeight="1" x14ac:dyDescent="0.35">
      <c r="A10" s="7" t="s">
        <v>13</v>
      </c>
      <c r="B10" s="7" t="s">
        <v>14</v>
      </c>
      <c r="C10" s="7" t="s">
        <v>15</v>
      </c>
      <c r="D10" s="7" t="s">
        <v>32</v>
      </c>
      <c r="E10" s="7" t="s">
        <v>161</v>
      </c>
      <c r="F10" s="7">
        <v>280</v>
      </c>
      <c r="G10" s="7">
        <v>2013</v>
      </c>
      <c r="H10" s="7">
        <f>(F10*900000)/1000000</f>
        <v>252</v>
      </c>
      <c r="I10" s="7" t="s">
        <v>17</v>
      </c>
      <c r="J10" s="8">
        <v>-31.711200000000002</v>
      </c>
      <c r="K10" s="8">
        <v>-60.781100000000002</v>
      </c>
      <c r="L10" s="7" t="s">
        <v>18</v>
      </c>
      <c r="O10" s="7"/>
      <c r="P10" s="7"/>
      <c r="W10" s="13"/>
      <c r="X10" s="13"/>
      <c r="Y10" s="13"/>
    </row>
    <row r="11" spans="1:25" ht="15.75" customHeight="1" x14ac:dyDescent="0.35">
      <c r="A11" s="7" t="s">
        <v>13</v>
      </c>
      <c r="B11" s="7" t="s">
        <v>14</v>
      </c>
      <c r="C11" s="7" t="s">
        <v>15</v>
      </c>
      <c r="D11" s="7" t="s">
        <v>33</v>
      </c>
      <c r="E11" s="7" t="s">
        <v>162</v>
      </c>
      <c r="F11" s="7">
        <v>121.4</v>
      </c>
      <c r="G11" s="7">
        <v>2009</v>
      </c>
      <c r="H11" s="7">
        <f>(F11*2000000)/1000000</f>
        <v>242.8</v>
      </c>
      <c r="I11" s="7" t="s">
        <v>17</v>
      </c>
      <c r="J11" s="8">
        <v>-31.519200000000001</v>
      </c>
      <c r="K11" s="8">
        <v>-68.981399999999994</v>
      </c>
      <c r="L11" s="7" t="s">
        <v>20</v>
      </c>
      <c r="O11" s="7"/>
      <c r="P11" s="7"/>
      <c r="W11" s="12"/>
      <c r="X11" s="12"/>
    </row>
    <row r="12" spans="1:25" ht="15.75" customHeight="1" x14ac:dyDescent="0.35">
      <c r="A12" s="7" t="s">
        <v>34</v>
      </c>
      <c r="B12" s="7" t="s">
        <v>35</v>
      </c>
      <c r="C12" s="7" t="s">
        <v>36</v>
      </c>
      <c r="D12" s="9" t="s">
        <v>37</v>
      </c>
      <c r="E12" s="9" t="s">
        <v>152</v>
      </c>
      <c r="F12" s="7">
        <v>240</v>
      </c>
      <c r="G12" s="14">
        <v>1977</v>
      </c>
      <c r="H12" s="7">
        <f>(F12*2000000)/1000000</f>
        <v>480</v>
      </c>
      <c r="I12" s="7" t="s">
        <v>17</v>
      </c>
      <c r="J12" s="8">
        <v>-34.733699999999999</v>
      </c>
      <c r="K12" s="8">
        <v>150.46690000000001</v>
      </c>
      <c r="L12" s="7" t="s">
        <v>20</v>
      </c>
      <c r="W12" s="12"/>
      <c r="X12" s="12"/>
    </row>
    <row r="13" spans="1:25" ht="15.75" customHeight="1" x14ac:dyDescent="0.35">
      <c r="A13" s="7" t="s">
        <v>34</v>
      </c>
      <c r="B13" s="7" t="s">
        <v>35</v>
      </c>
      <c r="C13" s="7" t="s">
        <v>36</v>
      </c>
      <c r="D13" s="9" t="s">
        <v>38</v>
      </c>
      <c r="E13" s="9" t="s">
        <v>163</v>
      </c>
      <c r="F13" s="7">
        <v>140</v>
      </c>
      <c r="G13" s="14">
        <v>2010</v>
      </c>
      <c r="H13" s="7">
        <f>(F13*1300000)/1000000</f>
        <v>182</v>
      </c>
      <c r="I13" s="7" t="s">
        <v>17</v>
      </c>
      <c r="J13" s="8">
        <v>-35.165999999999997</v>
      </c>
      <c r="K13" s="8">
        <v>149.51859999999999</v>
      </c>
      <c r="L13" s="7" t="s">
        <v>30</v>
      </c>
      <c r="W13" s="13"/>
      <c r="X13" s="13"/>
    </row>
    <row r="14" spans="1:25" ht="15.75" customHeight="1" x14ac:dyDescent="0.35">
      <c r="A14" s="7" t="s">
        <v>34</v>
      </c>
      <c r="B14" s="7" t="s">
        <v>35</v>
      </c>
      <c r="C14" s="7" t="s">
        <v>36</v>
      </c>
      <c r="D14" s="9" t="s">
        <v>39</v>
      </c>
      <c r="E14" s="9" t="s">
        <v>164</v>
      </c>
      <c r="F14" s="7">
        <v>130</v>
      </c>
      <c r="G14" s="14">
        <v>2018</v>
      </c>
      <c r="H14" s="7">
        <f>(F14*700000)/1000000</f>
        <v>91</v>
      </c>
      <c r="I14" s="7" t="s">
        <v>17</v>
      </c>
      <c r="J14" s="8">
        <v>-19.8398</v>
      </c>
      <c r="K14" s="8">
        <v>147.2105</v>
      </c>
      <c r="L14" s="7" t="s">
        <v>28</v>
      </c>
    </row>
    <row r="15" spans="1:25" ht="15.75" customHeight="1" x14ac:dyDescent="0.35">
      <c r="A15" s="7" t="s">
        <v>34</v>
      </c>
      <c r="B15" s="7" t="s">
        <v>35</v>
      </c>
      <c r="C15" s="7" t="s">
        <v>36</v>
      </c>
      <c r="D15" s="9" t="s">
        <v>40</v>
      </c>
      <c r="E15" s="9" t="s">
        <v>165</v>
      </c>
      <c r="F15" s="7">
        <v>60</v>
      </c>
      <c r="G15" s="14">
        <v>2018</v>
      </c>
      <c r="H15" s="7">
        <f>(F15*700000)/1000000</f>
        <v>42</v>
      </c>
      <c r="I15" s="7" t="s">
        <v>17</v>
      </c>
      <c r="J15" s="8">
        <v>-35.676200000000001</v>
      </c>
      <c r="K15" s="8">
        <v>143.45529999999999</v>
      </c>
      <c r="L15" s="7" t="s">
        <v>28</v>
      </c>
    </row>
    <row r="16" spans="1:25" ht="15.75" customHeight="1" x14ac:dyDescent="0.35">
      <c r="A16" s="7" t="s">
        <v>34</v>
      </c>
      <c r="B16" s="7" t="s">
        <v>35</v>
      </c>
      <c r="C16" s="7" t="s">
        <v>36</v>
      </c>
      <c r="D16" s="9" t="s">
        <v>41</v>
      </c>
      <c r="E16" s="9" t="s">
        <v>166</v>
      </c>
      <c r="F16" s="7">
        <v>70</v>
      </c>
      <c r="G16" s="14">
        <v>1957</v>
      </c>
      <c r="H16" s="7">
        <f>(F16*2000000)/1000000</f>
        <v>140</v>
      </c>
      <c r="I16" s="7" t="s">
        <v>17</v>
      </c>
      <c r="J16" s="8">
        <v>-36.1066</v>
      </c>
      <c r="K16" s="8">
        <v>147.0326</v>
      </c>
      <c r="L16" s="7" t="s">
        <v>20</v>
      </c>
    </row>
    <row r="17" spans="1:12" ht="15.75" customHeight="1" x14ac:dyDescent="0.35">
      <c r="A17" s="7" t="s">
        <v>34</v>
      </c>
      <c r="B17" s="7" t="s">
        <v>35</v>
      </c>
      <c r="C17" s="7" t="s">
        <v>36</v>
      </c>
      <c r="D17" s="9" t="s">
        <v>42</v>
      </c>
      <c r="E17" s="9" t="s">
        <v>167</v>
      </c>
      <c r="F17" s="7">
        <v>73.5</v>
      </c>
      <c r="G17" s="14">
        <v>2010</v>
      </c>
      <c r="H17" s="7">
        <f>(F17*1100000)/1000000</f>
        <v>80.849999999999994</v>
      </c>
      <c r="I17" s="7" t="s">
        <v>17</v>
      </c>
      <c r="J17" s="8">
        <v>-34.700299999999999</v>
      </c>
      <c r="K17" s="8">
        <v>135.80439999999999</v>
      </c>
      <c r="L17" s="7" t="s">
        <v>22</v>
      </c>
    </row>
    <row r="18" spans="1:12" ht="15.75" customHeight="1" x14ac:dyDescent="0.35">
      <c r="A18" s="7" t="s">
        <v>34</v>
      </c>
      <c r="B18" s="7" t="s">
        <v>35</v>
      </c>
      <c r="C18" s="7" t="s">
        <v>36</v>
      </c>
      <c r="D18" s="9" t="s">
        <v>43</v>
      </c>
      <c r="E18" s="9" t="s">
        <v>168</v>
      </c>
      <c r="F18" s="7">
        <v>380</v>
      </c>
      <c r="G18" s="14">
        <v>2007</v>
      </c>
      <c r="H18" s="7">
        <f>(F18*900000)/1000000</f>
        <v>342</v>
      </c>
      <c r="I18" s="7" t="s">
        <v>17</v>
      </c>
      <c r="J18" s="8">
        <v>-32.915999999999997</v>
      </c>
      <c r="K18" s="8">
        <v>115.9186</v>
      </c>
      <c r="L18" s="7" t="s">
        <v>18</v>
      </c>
    </row>
    <row r="19" spans="1:12" ht="15.75" customHeight="1" x14ac:dyDescent="0.35">
      <c r="A19" s="7" t="s">
        <v>34</v>
      </c>
      <c r="B19" s="7" t="s">
        <v>35</v>
      </c>
      <c r="C19" s="7" t="s">
        <v>36</v>
      </c>
      <c r="D19" s="9" t="s">
        <v>44</v>
      </c>
      <c r="E19" s="9" t="s">
        <v>169</v>
      </c>
      <c r="F19" s="7">
        <v>500</v>
      </c>
      <c r="G19" s="14">
        <v>1984</v>
      </c>
      <c r="H19" s="7">
        <f>(F19*2000000)/1000000</f>
        <v>1000</v>
      </c>
      <c r="I19" s="7" t="s">
        <v>17</v>
      </c>
      <c r="J19" s="8">
        <v>-27.372199999999999</v>
      </c>
      <c r="K19" s="8">
        <v>152.63200000000001</v>
      </c>
      <c r="L19" s="7" t="s">
        <v>20</v>
      </c>
    </row>
    <row r="20" spans="1:12" ht="15.75" customHeight="1" x14ac:dyDescent="0.35">
      <c r="A20" s="7" t="s">
        <v>34</v>
      </c>
      <c r="B20" s="7" t="s">
        <v>35</v>
      </c>
      <c r="C20" s="7" t="s">
        <v>36</v>
      </c>
      <c r="D20" s="9" t="s">
        <v>45</v>
      </c>
      <c r="E20" s="9" t="s">
        <v>170</v>
      </c>
      <c r="F20" s="7">
        <v>20</v>
      </c>
      <c r="G20" s="14">
        <v>1992</v>
      </c>
      <c r="H20" s="7">
        <f>(F20*2000000)/1000000</f>
        <v>40</v>
      </c>
      <c r="I20" s="7" t="s">
        <v>17</v>
      </c>
      <c r="J20" s="8">
        <v>-33.981000000000002</v>
      </c>
      <c r="K20" s="8">
        <v>148.94730000000001</v>
      </c>
      <c r="L20" s="7" t="s">
        <v>20</v>
      </c>
    </row>
    <row r="21" spans="1:12" ht="15.75" customHeight="1" x14ac:dyDescent="0.35">
      <c r="A21" s="7" t="s">
        <v>34</v>
      </c>
      <c r="B21" s="7" t="s">
        <v>35</v>
      </c>
      <c r="C21" s="7" t="s">
        <v>36</v>
      </c>
      <c r="D21" s="9" t="s">
        <v>46</v>
      </c>
      <c r="E21" s="9" t="s">
        <v>171</v>
      </c>
      <c r="F21" s="7">
        <v>131</v>
      </c>
      <c r="G21" s="14">
        <v>2018</v>
      </c>
      <c r="H21" s="7">
        <f>(F21*1300000)/1000000</f>
        <v>170.3</v>
      </c>
      <c r="I21" s="7" t="s">
        <v>17</v>
      </c>
      <c r="J21" s="8">
        <v>-37.728099999999998</v>
      </c>
      <c r="K21" s="8">
        <v>144.24080000000001</v>
      </c>
      <c r="L21" s="7" t="s">
        <v>30</v>
      </c>
    </row>
    <row r="22" spans="1:12" ht="15.75" customHeight="1" x14ac:dyDescent="0.35">
      <c r="A22" s="7" t="s">
        <v>47</v>
      </c>
      <c r="B22" s="7" t="s">
        <v>48</v>
      </c>
      <c r="C22" s="7" t="s">
        <v>15</v>
      </c>
      <c r="D22" s="9" t="s">
        <v>49</v>
      </c>
      <c r="E22" s="9" t="s">
        <v>153</v>
      </c>
      <c r="F22" s="7">
        <v>100.71</v>
      </c>
      <c r="G22" s="7">
        <v>2008</v>
      </c>
      <c r="H22" s="7">
        <f>(F22*2000000)/1000000</f>
        <v>201.42</v>
      </c>
      <c r="I22" s="7" t="s">
        <v>17</v>
      </c>
      <c r="J22" s="8">
        <v>-29.064800000000002</v>
      </c>
      <c r="K22" s="8">
        <v>-51.674900000000001</v>
      </c>
      <c r="L22" s="7" t="s">
        <v>20</v>
      </c>
    </row>
    <row r="23" spans="1:12" ht="15.75" customHeight="1" x14ac:dyDescent="0.35">
      <c r="A23" s="7" t="s">
        <v>47</v>
      </c>
      <c r="B23" s="7" t="s">
        <v>48</v>
      </c>
      <c r="C23" s="7" t="s">
        <v>15</v>
      </c>
      <c r="D23" s="9" t="s">
        <v>50</v>
      </c>
      <c r="E23" s="9" t="s">
        <v>173</v>
      </c>
      <c r="F23" s="7">
        <v>9.8279999999999994</v>
      </c>
      <c r="G23" s="7">
        <v>2010</v>
      </c>
      <c r="H23" s="7">
        <f>(F23*1100000)/1000000</f>
        <v>10.8108</v>
      </c>
      <c r="I23" s="7" t="s">
        <v>17</v>
      </c>
      <c r="J23" s="8">
        <v>-2.5059999999999998</v>
      </c>
      <c r="K23" s="8">
        <v>-56.162500000000001</v>
      </c>
      <c r="L23" s="7" t="s">
        <v>22</v>
      </c>
    </row>
    <row r="24" spans="1:12" ht="15.75" customHeight="1" x14ac:dyDescent="0.35">
      <c r="A24" s="7" t="s">
        <v>47</v>
      </c>
      <c r="B24" s="7" t="s">
        <v>48</v>
      </c>
      <c r="C24" s="7" t="s">
        <v>15</v>
      </c>
      <c r="D24" s="9" t="s">
        <v>51</v>
      </c>
      <c r="E24" s="9" t="s">
        <v>174</v>
      </c>
      <c r="F24" s="7">
        <v>100.65</v>
      </c>
      <c r="G24" s="7">
        <v>2011</v>
      </c>
      <c r="H24" s="7">
        <f>(F24*1300000)/1000000</f>
        <v>130.845</v>
      </c>
      <c r="I24" s="7" t="s">
        <v>17</v>
      </c>
      <c r="J24" s="8">
        <v>-5.1242999999999999</v>
      </c>
      <c r="K24" s="8">
        <v>-36.383299999999998</v>
      </c>
      <c r="L24" s="7" t="s">
        <v>30</v>
      </c>
    </row>
    <row r="25" spans="1:12" ht="15.75" customHeight="1" x14ac:dyDescent="0.35">
      <c r="A25" s="7" t="s">
        <v>47</v>
      </c>
      <c r="B25" s="7" t="s">
        <v>48</v>
      </c>
      <c r="C25" s="7" t="s">
        <v>15</v>
      </c>
      <c r="D25" s="9" t="s">
        <v>52</v>
      </c>
      <c r="E25" s="9" t="s">
        <v>175</v>
      </c>
      <c r="F25" s="7">
        <v>103.854</v>
      </c>
      <c r="G25" s="7">
        <v>2007</v>
      </c>
      <c r="H25" s="7">
        <f>(F25*2000000)/1000000</f>
        <v>207.708</v>
      </c>
      <c r="I25" s="7" t="s">
        <v>17</v>
      </c>
      <c r="J25" s="8">
        <v>-1.5374000000000001</v>
      </c>
      <c r="K25" s="8">
        <v>-48.722999999999999</v>
      </c>
      <c r="L25" s="7" t="s">
        <v>26</v>
      </c>
    </row>
    <row r="26" spans="1:12" ht="15.75" customHeight="1" x14ac:dyDescent="0.35">
      <c r="A26" s="7" t="s">
        <v>47</v>
      </c>
      <c r="B26" s="7" t="s">
        <v>48</v>
      </c>
      <c r="C26" s="7" t="s">
        <v>15</v>
      </c>
      <c r="D26" s="9" t="s">
        <v>53</v>
      </c>
      <c r="E26" s="9" t="s">
        <v>176</v>
      </c>
      <c r="F26" s="7">
        <v>484.15</v>
      </c>
      <c r="G26" s="7">
        <v>2002</v>
      </c>
      <c r="H26" s="7">
        <f>(F26*900000)/1000000</f>
        <v>435.73500000000001</v>
      </c>
      <c r="I26" s="7" t="s">
        <v>17</v>
      </c>
      <c r="J26" s="8">
        <v>-25.584299999999999</v>
      </c>
      <c r="K26" s="8">
        <v>-49.346400000000003</v>
      </c>
      <c r="L26" s="7" t="s">
        <v>18</v>
      </c>
    </row>
    <row r="27" spans="1:12" ht="15.75" customHeight="1" x14ac:dyDescent="0.35">
      <c r="A27" s="7" t="s">
        <v>47</v>
      </c>
      <c r="B27" s="7" t="s">
        <v>48</v>
      </c>
      <c r="C27" s="7" t="s">
        <v>15</v>
      </c>
      <c r="D27" s="9" t="s">
        <v>54</v>
      </c>
      <c r="E27" s="9" t="s">
        <v>177</v>
      </c>
      <c r="F27" s="7">
        <v>1</v>
      </c>
      <c r="G27" s="7">
        <v>2011</v>
      </c>
      <c r="H27" s="7">
        <f>(F27*700000)/1000000</f>
        <v>0.7</v>
      </c>
      <c r="I27" s="7" t="s">
        <v>17</v>
      </c>
      <c r="J27" s="8">
        <v>-6.0038999999999998</v>
      </c>
      <c r="K27" s="8">
        <v>-40.274700000000003</v>
      </c>
      <c r="L27" s="7" t="s">
        <v>28</v>
      </c>
    </row>
    <row r="28" spans="1:12" ht="13.5" x14ac:dyDescent="0.35">
      <c r="A28" s="7" t="s">
        <v>47</v>
      </c>
      <c r="B28" s="7" t="s">
        <v>48</v>
      </c>
      <c r="C28" s="7" t="s">
        <v>15</v>
      </c>
      <c r="D28" s="9" t="s">
        <v>55</v>
      </c>
      <c r="E28" s="9" t="s">
        <v>178</v>
      </c>
      <c r="F28" s="7">
        <v>42</v>
      </c>
      <c r="G28" s="7">
        <v>2014</v>
      </c>
      <c r="H28" s="5">
        <f>(F28*2500000)/1000000</f>
        <v>105</v>
      </c>
      <c r="I28" s="7" t="s">
        <v>17</v>
      </c>
      <c r="J28" s="8">
        <v>-22.858499999999999</v>
      </c>
      <c r="K28" s="8">
        <v>-51.377499999999998</v>
      </c>
      <c r="L28" s="7" t="s">
        <v>56</v>
      </c>
    </row>
    <row r="29" spans="1:12" ht="13.5" x14ac:dyDescent="0.35">
      <c r="A29" s="7" t="s">
        <v>47</v>
      </c>
      <c r="B29" s="7" t="s">
        <v>48</v>
      </c>
      <c r="C29" s="7" t="s">
        <v>15</v>
      </c>
      <c r="D29" s="9" t="s">
        <v>57</v>
      </c>
      <c r="E29" s="9" t="s">
        <v>179</v>
      </c>
      <c r="F29" s="7">
        <v>360.137</v>
      </c>
      <c r="G29" s="7">
        <v>2013</v>
      </c>
      <c r="H29" s="7">
        <f>(F29*2000000)/1000000</f>
        <v>720.274</v>
      </c>
      <c r="I29" s="7" t="s">
        <v>17</v>
      </c>
      <c r="J29" s="8">
        <v>-2.5246</v>
      </c>
      <c r="K29" s="8">
        <v>-44.296100000000003</v>
      </c>
      <c r="L29" s="7" t="s">
        <v>26</v>
      </c>
    </row>
    <row r="30" spans="1:12" ht="13.5" x14ac:dyDescent="0.35">
      <c r="A30" s="7" t="s">
        <v>47</v>
      </c>
      <c r="B30" s="7" t="s">
        <v>48</v>
      </c>
      <c r="C30" s="7" t="s">
        <v>15</v>
      </c>
      <c r="D30" s="9" t="s">
        <v>58</v>
      </c>
      <c r="E30" s="9" t="s">
        <v>180</v>
      </c>
      <c r="F30" s="7">
        <v>26</v>
      </c>
      <c r="G30" s="7">
        <v>2012</v>
      </c>
      <c r="H30" s="7">
        <f>(F30*2000000)/1000000</f>
        <v>52</v>
      </c>
      <c r="I30" s="7" t="s">
        <v>17</v>
      </c>
      <c r="J30" s="8">
        <v>-16.183299999999999</v>
      </c>
      <c r="K30" s="8">
        <v>-47.033299999999997</v>
      </c>
      <c r="L30" s="7" t="s">
        <v>20</v>
      </c>
    </row>
    <row r="31" spans="1:12" ht="13.5" x14ac:dyDescent="0.35">
      <c r="A31" s="7" t="s">
        <v>47</v>
      </c>
      <c r="B31" s="7" t="s">
        <v>48</v>
      </c>
      <c r="C31" s="7" t="s">
        <v>15</v>
      </c>
      <c r="D31" s="9" t="s">
        <v>59</v>
      </c>
      <c r="E31" s="9" t="s">
        <v>181</v>
      </c>
      <c r="F31" s="7">
        <v>27.675000000000001</v>
      </c>
      <c r="G31" s="7">
        <v>2014</v>
      </c>
      <c r="H31" s="7">
        <f>(F31*1300000)/1000000</f>
        <v>35.977499999999999</v>
      </c>
      <c r="I31" s="7" t="s">
        <v>17</v>
      </c>
      <c r="J31" s="8">
        <v>27.675000000000001</v>
      </c>
      <c r="K31" s="8">
        <v>-29.776700000000002</v>
      </c>
      <c r="L31" s="7" t="s">
        <v>30</v>
      </c>
    </row>
    <row r="32" spans="1:12" ht="13.5" x14ac:dyDescent="0.35">
      <c r="A32" s="7" t="s">
        <v>60</v>
      </c>
      <c r="B32" s="7" t="s">
        <v>61</v>
      </c>
      <c r="C32" s="7" t="s">
        <v>62</v>
      </c>
      <c r="D32" s="9" t="s">
        <v>63</v>
      </c>
      <c r="E32" s="9" t="s">
        <v>172</v>
      </c>
      <c r="F32" s="7">
        <v>63</v>
      </c>
      <c r="G32" s="7">
        <v>2009</v>
      </c>
      <c r="H32" s="7">
        <f>(F32*900000)/1000000</f>
        <v>56.7</v>
      </c>
      <c r="I32" s="7" t="s">
        <v>17</v>
      </c>
      <c r="J32" s="8">
        <v>49.5244</v>
      </c>
      <c r="K32" s="8">
        <v>-84.371200000000002</v>
      </c>
      <c r="L32" s="7" t="s">
        <v>18</v>
      </c>
    </row>
    <row r="33" spans="1:12" ht="13.5" x14ac:dyDescent="0.35">
      <c r="A33" s="7" t="s">
        <v>60</v>
      </c>
      <c r="B33" s="7" t="s">
        <v>61</v>
      </c>
      <c r="C33" s="7" t="s">
        <v>62</v>
      </c>
      <c r="D33" s="9" t="s">
        <v>64</v>
      </c>
      <c r="E33" s="9" t="s">
        <v>183</v>
      </c>
      <c r="F33" s="7">
        <v>180</v>
      </c>
      <c r="G33" s="7">
        <v>2015</v>
      </c>
      <c r="H33" s="7">
        <f>(F33*1300000)/1000000</f>
        <v>234</v>
      </c>
      <c r="I33" s="7" t="s">
        <v>17</v>
      </c>
      <c r="J33" s="8">
        <v>44.2044</v>
      </c>
      <c r="K33" s="8">
        <v>-81.457400000000007</v>
      </c>
      <c r="L33" s="7" t="s">
        <v>30</v>
      </c>
    </row>
    <row r="34" spans="1:12" ht="13.5" x14ac:dyDescent="0.35">
      <c r="A34" s="7" t="s">
        <v>60</v>
      </c>
      <c r="B34" s="7" t="s">
        <v>61</v>
      </c>
      <c r="C34" s="7" t="s">
        <v>62</v>
      </c>
      <c r="D34" s="9" t="s">
        <v>65</v>
      </c>
      <c r="E34" s="9" t="s">
        <v>184</v>
      </c>
      <c r="F34" s="7">
        <v>100</v>
      </c>
      <c r="G34" s="7">
        <v>2014</v>
      </c>
      <c r="H34" s="7">
        <f>(F34*900000)/1000000</f>
        <v>90</v>
      </c>
      <c r="I34" s="7" t="s">
        <v>17</v>
      </c>
      <c r="J34" s="8">
        <v>50.689700000000002</v>
      </c>
      <c r="K34" s="8">
        <v>-120.08799999999999</v>
      </c>
      <c r="L34" s="7" t="s">
        <v>18</v>
      </c>
    </row>
    <row r="35" spans="1:12" ht="13.5" x14ac:dyDescent="0.35">
      <c r="A35" s="7" t="s">
        <v>60</v>
      </c>
      <c r="B35" s="7" t="s">
        <v>61</v>
      </c>
      <c r="C35" s="7" t="s">
        <v>62</v>
      </c>
      <c r="D35" s="9" t="s">
        <v>66</v>
      </c>
      <c r="E35" s="9" t="s">
        <v>185</v>
      </c>
      <c r="F35" s="7">
        <v>90</v>
      </c>
      <c r="G35" s="7">
        <v>2006</v>
      </c>
      <c r="H35" s="7">
        <f>(F35*900000)/1000000</f>
        <v>81</v>
      </c>
      <c r="I35" s="7" t="s">
        <v>17</v>
      </c>
      <c r="J35" s="8">
        <v>43.691099999999999</v>
      </c>
      <c r="K35" s="8">
        <v>-79.610500000000002</v>
      </c>
      <c r="L35" s="7" t="s">
        <v>18</v>
      </c>
    </row>
    <row r="36" spans="1:12" ht="13.5" x14ac:dyDescent="0.35">
      <c r="A36" s="7" t="s">
        <v>60</v>
      </c>
      <c r="B36" s="7" t="s">
        <v>61</v>
      </c>
      <c r="C36" s="7" t="s">
        <v>62</v>
      </c>
      <c r="D36" s="9" t="s">
        <v>67</v>
      </c>
      <c r="E36" s="9" t="s">
        <v>186</v>
      </c>
      <c r="F36" s="7">
        <v>80</v>
      </c>
      <c r="G36" s="7">
        <v>2001</v>
      </c>
      <c r="H36" s="7">
        <f>(F36*900000)/1000000</f>
        <v>72</v>
      </c>
      <c r="I36" s="7" t="s">
        <v>17</v>
      </c>
      <c r="J36" s="8">
        <v>50.846600000000002</v>
      </c>
      <c r="K36" s="8">
        <v>-113.58199999999999</v>
      </c>
      <c r="L36" s="7" t="s">
        <v>18</v>
      </c>
    </row>
    <row r="37" spans="1:12" ht="13.5" x14ac:dyDescent="0.35">
      <c r="A37" s="7" t="s">
        <v>60</v>
      </c>
      <c r="B37" s="7" t="s">
        <v>61</v>
      </c>
      <c r="C37" s="7" t="s">
        <v>62</v>
      </c>
      <c r="D37" s="9" t="s">
        <v>68</v>
      </c>
      <c r="E37" s="9" t="s">
        <v>187</v>
      </c>
      <c r="F37" s="7">
        <v>50</v>
      </c>
      <c r="G37" s="7">
        <v>2005</v>
      </c>
      <c r="H37" s="7">
        <f>(F37*1100000)/1000000</f>
        <v>55</v>
      </c>
      <c r="I37" s="7" t="s">
        <v>17</v>
      </c>
      <c r="J37" s="8">
        <v>46.238399999999999</v>
      </c>
      <c r="K37" s="8">
        <v>-63.118099999999998</v>
      </c>
      <c r="L37" s="7" t="s">
        <v>22</v>
      </c>
    </row>
    <row r="38" spans="1:12" ht="13.5" x14ac:dyDescent="0.35">
      <c r="A38" s="7" t="s">
        <v>60</v>
      </c>
      <c r="B38" s="7" t="s">
        <v>61</v>
      </c>
      <c r="C38" s="7" t="s">
        <v>62</v>
      </c>
      <c r="D38" s="9" t="s">
        <v>69</v>
      </c>
      <c r="E38" s="9" t="s">
        <v>188</v>
      </c>
      <c r="F38" s="7">
        <v>165.6</v>
      </c>
      <c r="G38" s="7">
        <v>2016</v>
      </c>
      <c r="H38" s="7">
        <f>(F38*1300000)/1000000</f>
        <v>215.28</v>
      </c>
      <c r="I38" s="7" t="s">
        <v>17</v>
      </c>
      <c r="J38" s="8">
        <v>42.219499999999996</v>
      </c>
      <c r="K38" s="8">
        <v>-82.561400000000006</v>
      </c>
      <c r="L38" s="7" t="s">
        <v>30</v>
      </c>
    </row>
    <row r="39" spans="1:12" ht="13.5" x14ac:dyDescent="0.35">
      <c r="A39" s="7" t="s">
        <v>60</v>
      </c>
      <c r="B39" s="7" t="s">
        <v>61</v>
      </c>
      <c r="C39" s="7" t="s">
        <v>62</v>
      </c>
      <c r="D39" s="9" t="s">
        <v>70</v>
      </c>
      <c r="E39" s="9" t="s">
        <v>189</v>
      </c>
      <c r="F39" s="7">
        <v>92</v>
      </c>
      <c r="G39" s="7">
        <v>2009</v>
      </c>
      <c r="H39" s="7">
        <f>(F39*900000)/1000000</f>
        <v>82.8</v>
      </c>
      <c r="I39" s="7" t="s">
        <v>17</v>
      </c>
      <c r="J39" s="8">
        <v>51.872999999999998</v>
      </c>
      <c r="K39" s="8">
        <v>-109.04</v>
      </c>
      <c r="L39" s="7" t="s">
        <v>18</v>
      </c>
    </row>
    <row r="40" spans="1:12" ht="13.5" x14ac:dyDescent="0.35">
      <c r="A40" s="7" t="s">
        <v>60</v>
      </c>
      <c r="B40" s="7" t="s">
        <v>61</v>
      </c>
      <c r="C40" s="7" t="s">
        <v>62</v>
      </c>
      <c r="D40" s="9" t="s">
        <v>71</v>
      </c>
      <c r="E40" s="9" t="s">
        <v>190</v>
      </c>
      <c r="F40" s="7">
        <v>92</v>
      </c>
      <c r="G40" s="7">
        <v>2009</v>
      </c>
      <c r="H40" s="7">
        <f t="shared" ref="H40:H42" si="0">(F40*900000)/1000000</f>
        <v>82.8</v>
      </c>
      <c r="I40" s="7" t="s">
        <v>17</v>
      </c>
      <c r="J40" s="8">
        <v>42.325800000000001</v>
      </c>
      <c r="K40" s="8">
        <v>-83.000500000000002</v>
      </c>
      <c r="L40" s="7" t="s">
        <v>18</v>
      </c>
    </row>
    <row r="41" spans="1:12" ht="13.5" x14ac:dyDescent="0.35">
      <c r="A41" s="7" t="s">
        <v>60</v>
      </c>
      <c r="B41" s="7" t="s">
        <v>61</v>
      </c>
      <c r="C41" s="7" t="s">
        <v>62</v>
      </c>
      <c r="D41" s="9" t="s">
        <v>72</v>
      </c>
      <c r="E41" s="9" t="s">
        <v>191</v>
      </c>
      <c r="F41" s="7">
        <v>15</v>
      </c>
      <c r="G41" s="7">
        <v>2011</v>
      </c>
      <c r="H41" s="7">
        <f t="shared" si="0"/>
        <v>13.5</v>
      </c>
      <c r="I41" s="7" t="s">
        <v>17</v>
      </c>
      <c r="J41" s="8">
        <v>57.033499999999997</v>
      </c>
      <c r="K41" s="8">
        <v>-111.602</v>
      </c>
      <c r="L41" s="7" t="s">
        <v>18</v>
      </c>
    </row>
    <row r="42" spans="1:12" ht="13.5" x14ac:dyDescent="0.35">
      <c r="A42" s="7" t="s">
        <v>73</v>
      </c>
      <c r="B42" s="7" t="s">
        <v>74</v>
      </c>
      <c r="C42" s="7" t="s">
        <v>75</v>
      </c>
      <c r="D42" s="9" t="s">
        <v>76</v>
      </c>
      <c r="E42" s="9" t="s">
        <v>182</v>
      </c>
      <c r="F42" s="7">
        <v>96.5</v>
      </c>
      <c r="G42" s="7">
        <v>2012</v>
      </c>
      <c r="H42" s="7">
        <f t="shared" si="0"/>
        <v>86.85</v>
      </c>
      <c r="I42" s="7" t="s">
        <v>17</v>
      </c>
      <c r="J42" s="8">
        <v>50.091799999999999</v>
      </c>
      <c r="K42" s="8">
        <v>8.5311000000000003</v>
      </c>
      <c r="L42" s="7" t="s">
        <v>18</v>
      </c>
    </row>
    <row r="43" spans="1:12" ht="13.5" x14ac:dyDescent="0.35">
      <c r="A43" s="7" t="s">
        <v>73</v>
      </c>
      <c r="B43" s="7" t="s">
        <v>74</v>
      </c>
      <c r="C43" s="7" t="s">
        <v>75</v>
      </c>
      <c r="D43" s="9" t="s">
        <v>77</v>
      </c>
      <c r="E43" s="9" t="s">
        <v>194</v>
      </c>
      <c r="F43" s="7">
        <v>301.32</v>
      </c>
      <c r="G43" s="7">
        <v>2015</v>
      </c>
      <c r="H43" s="7">
        <f>(F43*1300000)/1000000</f>
        <v>391.71600000000001</v>
      </c>
      <c r="I43" s="7" t="s">
        <v>17</v>
      </c>
      <c r="J43" s="8">
        <v>54.5</v>
      </c>
      <c r="K43" s="8">
        <v>7.7999000000000001</v>
      </c>
      <c r="L43" s="7" t="s">
        <v>30</v>
      </c>
    </row>
    <row r="44" spans="1:12" ht="13.5" x14ac:dyDescent="0.35">
      <c r="A44" s="7" t="s">
        <v>73</v>
      </c>
      <c r="B44" s="7" t="s">
        <v>74</v>
      </c>
      <c r="C44" s="7" t="s">
        <v>75</v>
      </c>
      <c r="D44" s="9" t="s">
        <v>78</v>
      </c>
      <c r="E44" s="9" t="s">
        <v>195</v>
      </c>
      <c r="F44" s="7">
        <v>2100</v>
      </c>
      <c r="G44" s="7">
        <v>2012</v>
      </c>
      <c r="H44" s="7">
        <f>(F44*2000000)/1000000</f>
        <v>4200</v>
      </c>
      <c r="I44" s="7" t="s">
        <v>17</v>
      </c>
      <c r="J44" s="8">
        <v>51.036499999999997</v>
      </c>
      <c r="K44" s="8">
        <v>6.6132999999999997</v>
      </c>
      <c r="L44" s="7" t="s">
        <v>26</v>
      </c>
    </row>
    <row r="45" spans="1:12" ht="13.5" x14ac:dyDescent="0.35">
      <c r="A45" s="7" t="s">
        <v>73</v>
      </c>
      <c r="B45" s="7" t="s">
        <v>74</v>
      </c>
      <c r="C45" s="7" t="s">
        <v>75</v>
      </c>
      <c r="D45" s="9" t="s">
        <v>79</v>
      </c>
      <c r="E45" s="9" t="s">
        <v>196</v>
      </c>
      <c r="F45" s="7">
        <v>75.3</v>
      </c>
      <c r="G45" s="7">
        <v>2010</v>
      </c>
      <c r="H45" s="7">
        <f>(F45*2000000)/1000000</f>
        <v>150.6</v>
      </c>
      <c r="I45" s="7" t="s">
        <v>17</v>
      </c>
      <c r="J45" s="8">
        <v>51.017800000000001</v>
      </c>
      <c r="K45" s="8">
        <v>6.9642999999999997</v>
      </c>
      <c r="L45" s="7" t="s">
        <v>26</v>
      </c>
    </row>
    <row r="46" spans="1:12" ht="13.5" x14ac:dyDescent="0.35">
      <c r="A46" s="7" t="s">
        <v>73</v>
      </c>
      <c r="B46" s="7" t="s">
        <v>74</v>
      </c>
      <c r="C46" s="7" t="s">
        <v>75</v>
      </c>
      <c r="D46" s="9" t="s">
        <v>80</v>
      </c>
      <c r="E46" s="9" t="s">
        <v>197</v>
      </c>
      <c r="F46" s="7">
        <v>400</v>
      </c>
      <c r="G46" s="7">
        <v>2015</v>
      </c>
      <c r="H46" s="7">
        <f>(F46*1300000)/1000000</f>
        <v>520</v>
      </c>
      <c r="I46" s="7" t="s">
        <v>17</v>
      </c>
      <c r="J46" s="8">
        <v>54.509</v>
      </c>
      <c r="K46" s="8">
        <v>6.367</v>
      </c>
      <c r="L46" s="7" t="s">
        <v>30</v>
      </c>
    </row>
    <row r="47" spans="1:12" ht="13.5" x14ac:dyDescent="0.35">
      <c r="A47" s="7" t="s">
        <v>73</v>
      </c>
      <c r="B47" s="7" t="s">
        <v>74</v>
      </c>
      <c r="C47" s="7" t="s">
        <v>75</v>
      </c>
      <c r="D47" s="9" t="s">
        <v>81</v>
      </c>
      <c r="E47" s="9" t="s">
        <v>198</v>
      </c>
      <c r="F47" s="7">
        <v>46.7</v>
      </c>
      <c r="G47" s="7">
        <v>2010</v>
      </c>
      <c r="H47" s="7">
        <f>(F47*2000000)/1000000</f>
        <v>93.4</v>
      </c>
      <c r="I47" s="7" t="s">
        <v>17</v>
      </c>
      <c r="J47" s="8">
        <v>47.569899999999997</v>
      </c>
      <c r="K47" s="8">
        <v>7.8101000000000003</v>
      </c>
      <c r="L47" s="7" t="s">
        <v>20</v>
      </c>
    </row>
    <row r="48" spans="1:12" ht="13.5" x14ac:dyDescent="0.35">
      <c r="A48" s="7" t="s">
        <v>73</v>
      </c>
      <c r="B48" s="7" t="s">
        <v>74</v>
      </c>
      <c r="C48" s="7" t="s">
        <v>75</v>
      </c>
      <c r="D48" s="9" t="s">
        <v>82</v>
      </c>
      <c r="E48" s="9" t="s">
        <v>199</v>
      </c>
      <c r="F48" s="7">
        <v>288</v>
      </c>
      <c r="G48" s="7">
        <v>2014</v>
      </c>
      <c r="H48" s="7">
        <f>(F48*1300000)/1000000</f>
        <v>374.4</v>
      </c>
      <c r="I48" s="7" t="s">
        <v>17</v>
      </c>
      <c r="J48" s="8">
        <v>54.392000000000003</v>
      </c>
      <c r="K48" s="8">
        <v>7.7039999999999997</v>
      </c>
      <c r="L48" s="7" t="s">
        <v>30</v>
      </c>
    </row>
    <row r="49" spans="1:12" ht="13.5" x14ac:dyDescent="0.35">
      <c r="A49" s="7" t="s">
        <v>73</v>
      </c>
      <c r="B49" s="7" t="s">
        <v>74</v>
      </c>
      <c r="C49" s="7" t="s">
        <v>75</v>
      </c>
      <c r="D49" s="9" t="s">
        <v>83</v>
      </c>
      <c r="E49" s="9" t="s">
        <v>200</v>
      </c>
      <c r="F49" s="7">
        <v>17</v>
      </c>
      <c r="G49" s="7">
        <v>2010</v>
      </c>
      <c r="H49" s="5">
        <f>+(F49*3000000)/1000000</f>
        <v>51</v>
      </c>
      <c r="I49" s="7" t="s">
        <v>17</v>
      </c>
      <c r="J49" s="8">
        <v>53.781799999999997</v>
      </c>
      <c r="K49" s="8">
        <v>9.4258000000000006</v>
      </c>
      <c r="L49" s="7" t="s">
        <v>84</v>
      </c>
    </row>
    <row r="50" spans="1:12" ht="13.5" x14ac:dyDescent="0.35">
      <c r="A50" s="7" t="s">
        <v>73</v>
      </c>
      <c r="B50" s="7" t="s">
        <v>74</v>
      </c>
      <c r="C50" s="7" t="s">
        <v>75</v>
      </c>
      <c r="D50" s="9" t="s">
        <v>85</v>
      </c>
      <c r="E50" s="9" t="s">
        <v>201</v>
      </c>
      <c r="F50" s="7">
        <v>200</v>
      </c>
      <c r="G50" s="7">
        <v>2015</v>
      </c>
      <c r="H50" s="7">
        <f>(F50*1300000)/1000000</f>
        <v>260</v>
      </c>
      <c r="I50" s="7" t="s">
        <v>17</v>
      </c>
      <c r="J50" s="8">
        <v>54.041600000000003</v>
      </c>
      <c r="K50" s="8">
        <v>6.4667000000000003</v>
      </c>
      <c r="L50" s="7" t="s">
        <v>30</v>
      </c>
    </row>
    <row r="51" spans="1:12" ht="13.5" x14ac:dyDescent="0.35">
      <c r="A51" s="7" t="s">
        <v>73</v>
      </c>
      <c r="B51" s="7" t="s">
        <v>74</v>
      </c>
      <c r="C51" s="7" t="s">
        <v>75</v>
      </c>
      <c r="D51" s="9" t="s">
        <v>86</v>
      </c>
      <c r="E51" s="9" t="s">
        <v>202</v>
      </c>
      <c r="F51" s="7">
        <v>24</v>
      </c>
      <c r="G51" s="7">
        <v>2009</v>
      </c>
      <c r="H51" s="7">
        <f>(F51*2000000)/1000000</f>
        <v>48</v>
      </c>
      <c r="I51" s="7" t="s">
        <v>17</v>
      </c>
      <c r="J51" s="8">
        <v>47.598500000000001</v>
      </c>
      <c r="K51" s="8">
        <v>8.1709999999999994</v>
      </c>
      <c r="L51" s="7" t="s">
        <v>20</v>
      </c>
    </row>
    <row r="52" spans="1:12" ht="13.5" x14ac:dyDescent="0.35">
      <c r="A52" s="7" t="s">
        <v>87</v>
      </c>
      <c r="B52" s="7" t="s">
        <v>88</v>
      </c>
      <c r="C52" s="7" t="s">
        <v>89</v>
      </c>
      <c r="D52" s="9" t="s">
        <v>90</v>
      </c>
      <c r="E52" s="9" t="s">
        <v>192</v>
      </c>
      <c r="F52" s="7">
        <v>2.5</v>
      </c>
      <c r="G52" s="7">
        <v>2011</v>
      </c>
      <c r="H52" s="5">
        <f>(F52*700000)/1000000</f>
        <v>1.75</v>
      </c>
      <c r="I52" s="7" t="s">
        <v>17</v>
      </c>
      <c r="J52" s="8">
        <v>28.183900000000001</v>
      </c>
      <c r="K52" s="8">
        <v>73.240700000000004</v>
      </c>
      <c r="L52" s="7" t="s">
        <v>28</v>
      </c>
    </row>
    <row r="53" spans="1:12" ht="13.5" x14ac:dyDescent="0.35">
      <c r="A53" s="7" t="s">
        <v>87</v>
      </c>
      <c r="B53" s="7" t="s">
        <v>88</v>
      </c>
      <c r="C53" s="7" t="s">
        <v>89</v>
      </c>
      <c r="D53" s="9" t="s">
        <v>91</v>
      </c>
      <c r="E53" s="9" t="s">
        <v>204</v>
      </c>
      <c r="F53" s="7">
        <v>600</v>
      </c>
      <c r="G53" s="7">
        <v>2017</v>
      </c>
      <c r="H53" s="7">
        <f>(F53*2000000)/1000000</f>
        <v>1200</v>
      </c>
      <c r="I53" s="7" t="s">
        <v>17</v>
      </c>
      <c r="J53" s="8">
        <v>21.7438</v>
      </c>
      <c r="K53" s="8">
        <v>83.274100000000004</v>
      </c>
      <c r="L53" s="7" t="s">
        <v>26</v>
      </c>
    </row>
    <row r="54" spans="1:12" ht="13.5" x14ac:dyDescent="0.35">
      <c r="A54" s="7" t="s">
        <v>87</v>
      </c>
      <c r="B54" s="7" t="s">
        <v>88</v>
      </c>
      <c r="C54" s="7" t="s">
        <v>89</v>
      </c>
      <c r="D54" s="9" t="s">
        <v>92</v>
      </c>
      <c r="E54" s="9" t="s">
        <v>205</v>
      </c>
      <c r="F54" s="7">
        <v>450</v>
      </c>
      <c r="G54" s="7">
        <v>2008</v>
      </c>
      <c r="H54" s="7">
        <f>(F54*2000000)/1000000</f>
        <v>900</v>
      </c>
      <c r="I54" s="7" t="s">
        <v>17</v>
      </c>
      <c r="J54" s="8">
        <v>33.1815</v>
      </c>
      <c r="K54" s="8">
        <v>75.3155</v>
      </c>
      <c r="L54" s="7" t="s">
        <v>20</v>
      </c>
    </row>
    <row r="55" spans="1:12" ht="13.5" x14ac:dyDescent="0.35">
      <c r="A55" s="7" t="s">
        <v>87</v>
      </c>
      <c r="B55" s="7" t="s">
        <v>88</v>
      </c>
      <c r="C55" s="7" t="s">
        <v>89</v>
      </c>
      <c r="D55" s="9" t="s">
        <v>93</v>
      </c>
      <c r="E55" s="9" t="s">
        <v>206</v>
      </c>
      <c r="F55" s="7">
        <v>30</v>
      </c>
      <c r="G55" s="7">
        <v>2013</v>
      </c>
      <c r="H55" s="7">
        <f>(F55*2000000)/1000000</f>
        <v>60</v>
      </c>
      <c r="I55" s="7" t="s">
        <v>17</v>
      </c>
      <c r="J55" s="8">
        <v>11.331</v>
      </c>
      <c r="K55" s="8">
        <v>77.757999999999996</v>
      </c>
      <c r="L55" s="7" t="s">
        <v>20</v>
      </c>
    </row>
    <row r="56" spans="1:12" ht="13.5" x14ac:dyDescent="0.35">
      <c r="A56" s="7" t="s">
        <v>87</v>
      </c>
      <c r="B56" s="7" t="s">
        <v>88</v>
      </c>
      <c r="C56" s="7" t="s">
        <v>89</v>
      </c>
      <c r="D56" s="9" t="s">
        <v>94</v>
      </c>
      <c r="E56" s="9" t="s">
        <v>207</v>
      </c>
      <c r="F56" s="7">
        <v>1200</v>
      </c>
      <c r="G56" s="7">
        <v>2014</v>
      </c>
      <c r="H56" s="7">
        <f t="shared" ref="H56" si="1">(F56*900000)/1000000</f>
        <v>1080</v>
      </c>
      <c r="I56" s="7" t="s">
        <v>17</v>
      </c>
      <c r="J56" s="8">
        <v>21.692299999999999</v>
      </c>
      <c r="K56" s="8">
        <v>72.621499999999997</v>
      </c>
      <c r="L56" s="7" t="s">
        <v>18</v>
      </c>
    </row>
    <row r="57" spans="1:12" ht="13.5" x14ac:dyDescent="0.35">
      <c r="A57" s="7" t="s">
        <v>87</v>
      </c>
      <c r="B57" s="7" t="s">
        <v>88</v>
      </c>
      <c r="C57" s="7" t="s">
        <v>89</v>
      </c>
      <c r="D57" s="9" t="s">
        <v>95</v>
      </c>
      <c r="E57" s="9" t="s">
        <v>208</v>
      </c>
      <c r="F57" s="7">
        <v>125</v>
      </c>
      <c r="G57" s="7">
        <v>2014</v>
      </c>
      <c r="H57" s="5">
        <f>(F57*700000)/1000000</f>
        <v>87.5</v>
      </c>
      <c r="I57" s="7" t="s">
        <v>17</v>
      </c>
      <c r="J57" s="8">
        <v>26.784600000000001</v>
      </c>
      <c r="K57" s="8">
        <v>72.008300000000006</v>
      </c>
      <c r="L57" s="7" t="s">
        <v>28</v>
      </c>
    </row>
    <row r="58" spans="1:12" ht="13.5" x14ac:dyDescent="0.35">
      <c r="A58" s="7" t="s">
        <v>87</v>
      </c>
      <c r="B58" s="7" t="s">
        <v>88</v>
      </c>
      <c r="C58" s="7" t="s">
        <v>89</v>
      </c>
      <c r="D58" s="9" t="s">
        <v>96</v>
      </c>
      <c r="E58" s="9" t="s">
        <v>209</v>
      </c>
      <c r="F58" s="7">
        <v>225</v>
      </c>
      <c r="G58" s="7">
        <v>2016</v>
      </c>
      <c r="H58" s="7">
        <f t="shared" ref="H58" si="2">(F58*900000)/1000000</f>
        <v>202.5</v>
      </c>
      <c r="I58" s="7" t="s">
        <v>17</v>
      </c>
      <c r="J58" s="8">
        <v>29.141100000000002</v>
      </c>
      <c r="K58" s="8">
        <v>78.963200000000001</v>
      </c>
      <c r="L58" s="7" t="s">
        <v>18</v>
      </c>
    </row>
    <row r="59" spans="1:12" ht="13.5" x14ac:dyDescent="0.35">
      <c r="A59" s="7" t="s">
        <v>87</v>
      </c>
      <c r="B59" s="7" t="s">
        <v>88</v>
      </c>
      <c r="C59" s="7" t="s">
        <v>89</v>
      </c>
      <c r="D59" s="9" t="s">
        <v>97</v>
      </c>
      <c r="E59" s="9" t="s">
        <v>210</v>
      </c>
      <c r="F59" s="7">
        <v>330</v>
      </c>
      <c r="G59" s="7">
        <v>2018</v>
      </c>
      <c r="H59" s="7">
        <f>(F59*2000000)/1000000</f>
        <v>660</v>
      </c>
      <c r="I59" s="7" t="s">
        <v>17</v>
      </c>
      <c r="J59" s="8">
        <v>34.649000000000001</v>
      </c>
      <c r="K59" s="8">
        <v>74.751400000000004</v>
      </c>
      <c r="L59" s="7" t="s">
        <v>20</v>
      </c>
    </row>
    <row r="60" spans="1:12" ht="13.5" x14ac:dyDescent="0.35">
      <c r="A60" s="7" t="s">
        <v>87</v>
      </c>
      <c r="B60" s="7" t="s">
        <v>88</v>
      </c>
      <c r="C60" s="7" t="s">
        <v>89</v>
      </c>
      <c r="D60" s="9" t="s">
        <v>98</v>
      </c>
      <c r="E60" s="9" t="s">
        <v>211</v>
      </c>
      <c r="F60" s="7">
        <v>2400</v>
      </c>
      <c r="G60" s="7">
        <v>2017</v>
      </c>
      <c r="H60" s="7">
        <f>(F60*2000000)/1000000</f>
        <v>4800</v>
      </c>
      <c r="I60" s="7" t="s">
        <v>17</v>
      </c>
      <c r="J60" s="8">
        <v>16.499400000000001</v>
      </c>
      <c r="K60" s="8">
        <v>75.834900000000005</v>
      </c>
      <c r="L60" s="7" t="s">
        <v>26</v>
      </c>
    </row>
    <row r="61" spans="1:12" ht="13.5" x14ac:dyDescent="0.35">
      <c r="A61" s="7" t="s">
        <v>87</v>
      </c>
      <c r="B61" s="7" t="s">
        <v>88</v>
      </c>
      <c r="C61" s="7" t="s">
        <v>89</v>
      </c>
      <c r="D61" s="9" t="s">
        <v>99</v>
      </c>
      <c r="E61" s="9" t="s">
        <v>212</v>
      </c>
      <c r="F61" s="7">
        <v>2000</v>
      </c>
      <c r="G61" s="7">
        <v>2015</v>
      </c>
      <c r="H61" s="7">
        <f>(F61*6000000)/1000000</f>
        <v>12000</v>
      </c>
      <c r="I61" s="7" t="s">
        <v>17</v>
      </c>
      <c r="J61" s="8">
        <v>8.1691000000000003</v>
      </c>
      <c r="K61" s="8">
        <v>77.1327</v>
      </c>
      <c r="L61" s="7" t="s">
        <v>24</v>
      </c>
    </row>
    <row r="62" spans="1:12" ht="13.5" x14ac:dyDescent="0.35">
      <c r="A62" s="7" t="s">
        <v>100</v>
      </c>
      <c r="B62" s="7" t="s">
        <v>101</v>
      </c>
      <c r="C62" s="7" t="s">
        <v>75</v>
      </c>
      <c r="D62" s="9" t="s">
        <v>102</v>
      </c>
      <c r="E62" s="9" t="s">
        <v>193</v>
      </c>
      <c r="F62" s="7">
        <v>104</v>
      </c>
      <c r="G62" s="7">
        <v>2013</v>
      </c>
      <c r="H62" s="7">
        <f t="shared" ref="H62:H68" si="3">(F62*900000)/1000000</f>
        <v>93.6</v>
      </c>
      <c r="I62" s="7" t="s">
        <v>17</v>
      </c>
      <c r="J62" s="8">
        <v>42.349600000000002</v>
      </c>
      <c r="K62" s="8">
        <v>14.4039</v>
      </c>
      <c r="L62" s="7" t="s">
        <v>18</v>
      </c>
    </row>
    <row r="63" spans="1:12" ht="13.5" x14ac:dyDescent="0.35">
      <c r="A63" s="7" t="s">
        <v>100</v>
      </c>
      <c r="B63" s="7" t="s">
        <v>101</v>
      </c>
      <c r="C63" s="7" t="s">
        <v>75</v>
      </c>
      <c r="D63" s="9" t="s">
        <v>103</v>
      </c>
      <c r="E63" s="9" t="s">
        <v>214</v>
      </c>
      <c r="F63" s="7">
        <v>769</v>
      </c>
      <c r="G63" s="7">
        <v>2006</v>
      </c>
      <c r="H63" s="7">
        <f t="shared" si="3"/>
        <v>692.1</v>
      </c>
      <c r="I63" s="7" t="s">
        <v>17</v>
      </c>
      <c r="J63" s="8">
        <v>41.936900000000001</v>
      </c>
      <c r="K63" s="8">
        <v>15.000400000000001</v>
      </c>
      <c r="L63" s="7" t="s">
        <v>18</v>
      </c>
    </row>
    <row r="64" spans="1:12" ht="13.5" x14ac:dyDescent="0.35">
      <c r="A64" s="7" t="s">
        <v>100</v>
      </c>
      <c r="B64" s="7" t="s">
        <v>101</v>
      </c>
      <c r="C64" s="7" t="s">
        <v>75</v>
      </c>
      <c r="D64" s="9" t="s">
        <v>104</v>
      </c>
      <c r="E64" s="9" t="s">
        <v>215</v>
      </c>
      <c r="F64" s="7">
        <v>39</v>
      </c>
      <c r="G64" s="7">
        <v>2005</v>
      </c>
      <c r="H64" s="7">
        <f>(F64*3500000)/1000000</f>
        <v>136.5</v>
      </c>
      <c r="I64" s="7" t="s">
        <v>17</v>
      </c>
      <c r="J64" s="8">
        <v>43.145200000000003</v>
      </c>
      <c r="K64" s="8">
        <v>10.8325</v>
      </c>
      <c r="L64" s="7" t="s">
        <v>105</v>
      </c>
    </row>
    <row r="65" spans="1:12" ht="13.5" x14ac:dyDescent="0.35">
      <c r="A65" s="7" t="s">
        <v>100</v>
      </c>
      <c r="B65" s="7" t="s">
        <v>101</v>
      </c>
      <c r="C65" s="7" t="s">
        <v>75</v>
      </c>
      <c r="D65" s="9" t="s">
        <v>106</v>
      </c>
      <c r="E65" s="9" t="s">
        <v>216</v>
      </c>
      <c r="F65" s="7">
        <v>1151</v>
      </c>
      <c r="G65" s="7">
        <v>2004</v>
      </c>
      <c r="H65" s="7">
        <f t="shared" si="3"/>
        <v>1035.9000000000001</v>
      </c>
      <c r="I65" s="7" t="s">
        <v>17</v>
      </c>
      <c r="J65" s="8">
        <v>45.026499999999999</v>
      </c>
      <c r="K65" s="8">
        <v>11.2522</v>
      </c>
      <c r="L65" s="7" t="s">
        <v>18</v>
      </c>
    </row>
    <row r="66" spans="1:12" ht="13.5" x14ac:dyDescent="0.35">
      <c r="A66" s="7" t="s">
        <v>100</v>
      </c>
      <c r="B66" s="7" t="s">
        <v>101</v>
      </c>
      <c r="C66" s="7" t="s">
        <v>75</v>
      </c>
      <c r="D66" s="9" t="s">
        <v>107</v>
      </c>
      <c r="E66" s="9" t="s">
        <v>217</v>
      </c>
      <c r="F66" s="7">
        <v>800</v>
      </c>
      <c r="G66" s="7">
        <v>2010</v>
      </c>
      <c r="H66" s="7">
        <f t="shared" si="3"/>
        <v>720</v>
      </c>
      <c r="I66" s="7" t="s">
        <v>17</v>
      </c>
      <c r="J66" s="8">
        <v>41.102499999999999</v>
      </c>
      <c r="K66" s="8">
        <v>16.756</v>
      </c>
      <c r="L66" s="7" t="s">
        <v>18</v>
      </c>
    </row>
    <row r="67" spans="1:12" ht="13.5" x14ac:dyDescent="0.35">
      <c r="A67" s="7" t="s">
        <v>100</v>
      </c>
      <c r="B67" s="7" t="s">
        <v>101</v>
      </c>
      <c r="C67" s="7" t="s">
        <v>75</v>
      </c>
      <c r="D67" s="9" t="s">
        <v>108</v>
      </c>
      <c r="E67" s="9" t="s">
        <v>218</v>
      </c>
      <c r="F67" s="7">
        <v>390</v>
      </c>
      <c r="G67" s="7">
        <v>2006</v>
      </c>
      <c r="H67" s="7">
        <f t="shared" si="3"/>
        <v>351</v>
      </c>
      <c r="I67" s="7" t="s">
        <v>17</v>
      </c>
      <c r="J67" s="8">
        <v>43.564999999999998</v>
      </c>
      <c r="K67" s="8">
        <v>11.4777</v>
      </c>
      <c r="L67" s="7" t="s">
        <v>18</v>
      </c>
    </row>
    <row r="68" spans="1:12" ht="13.5" x14ac:dyDescent="0.35">
      <c r="A68" s="7" t="s">
        <v>100</v>
      </c>
      <c r="B68" s="7" t="s">
        <v>101</v>
      </c>
      <c r="C68" s="7" t="s">
        <v>75</v>
      </c>
      <c r="D68" s="9" t="s">
        <v>109</v>
      </c>
      <c r="E68" s="9" t="s">
        <v>219</v>
      </c>
      <c r="F68" s="7">
        <v>1520</v>
      </c>
      <c r="G68" s="7">
        <v>2005</v>
      </c>
      <c r="H68" s="7">
        <f t="shared" si="3"/>
        <v>1368</v>
      </c>
      <c r="I68" s="7" t="s">
        <v>17</v>
      </c>
      <c r="J68" s="8">
        <v>45.332500000000003</v>
      </c>
      <c r="K68" s="8">
        <v>9.4364000000000008</v>
      </c>
      <c r="L68" s="7" t="s">
        <v>18</v>
      </c>
    </row>
    <row r="69" spans="1:12" ht="13.5" x14ac:dyDescent="0.35">
      <c r="A69" s="7" t="s">
        <v>100</v>
      </c>
      <c r="B69" s="7" t="s">
        <v>101</v>
      </c>
      <c r="C69" s="7" t="s">
        <v>75</v>
      </c>
      <c r="D69" s="9" t="s">
        <v>110</v>
      </c>
      <c r="E69" s="9" t="s">
        <v>220</v>
      </c>
      <c r="F69" s="7">
        <v>1980</v>
      </c>
      <c r="G69" s="7">
        <v>2009</v>
      </c>
      <c r="H69" s="7">
        <f>(F69*2000000)/1000000</f>
        <v>3960</v>
      </c>
      <c r="I69" s="7" t="s">
        <v>17</v>
      </c>
      <c r="J69" s="8">
        <v>42.126899999999999</v>
      </c>
      <c r="K69" s="8">
        <v>11.7583</v>
      </c>
      <c r="L69" s="7" t="s">
        <v>26</v>
      </c>
    </row>
    <row r="70" spans="1:12" ht="13.5" x14ac:dyDescent="0.35">
      <c r="A70" s="7" t="s">
        <v>100</v>
      </c>
      <c r="B70" s="7" t="s">
        <v>101</v>
      </c>
      <c r="C70" s="7" t="s">
        <v>75</v>
      </c>
      <c r="D70" s="9" t="s">
        <v>111</v>
      </c>
      <c r="E70" s="9" t="s">
        <v>221</v>
      </c>
      <c r="F70" s="7">
        <v>20</v>
      </c>
      <c r="G70" s="7">
        <v>2009</v>
      </c>
      <c r="H70" s="7">
        <f>(F70*3500000)/1000000</f>
        <v>70</v>
      </c>
      <c r="I70" s="7" t="s">
        <v>17</v>
      </c>
      <c r="J70" s="8">
        <v>43.1753</v>
      </c>
      <c r="K70" s="8">
        <v>10.8583</v>
      </c>
      <c r="L70" s="7" t="s">
        <v>105</v>
      </c>
    </row>
    <row r="71" spans="1:12" ht="13.5" x14ac:dyDescent="0.35">
      <c r="A71" s="7" t="s">
        <v>100</v>
      </c>
      <c r="B71" s="7" t="s">
        <v>101</v>
      </c>
      <c r="C71" s="7" t="s">
        <v>75</v>
      </c>
      <c r="D71" s="9" t="s">
        <v>112</v>
      </c>
      <c r="E71" s="9" t="s">
        <v>222</v>
      </c>
      <c r="F71" s="7">
        <v>1353</v>
      </c>
      <c r="G71" s="7">
        <v>2007</v>
      </c>
      <c r="H71" s="7">
        <f t="shared" ref="H71" si="4">(F71*900000)/1000000</f>
        <v>1217.7</v>
      </c>
      <c r="I71" s="7" t="s">
        <v>17</v>
      </c>
      <c r="J71" s="8">
        <v>44.275500000000001</v>
      </c>
      <c r="K71" s="8">
        <v>8.4305000000000003</v>
      </c>
      <c r="L71" s="7" t="s">
        <v>18</v>
      </c>
    </row>
    <row r="72" spans="1:12" ht="13.5" x14ac:dyDescent="0.35">
      <c r="A72" s="7" t="s">
        <v>113</v>
      </c>
      <c r="B72" s="7" t="s">
        <v>114</v>
      </c>
      <c r="C72" s="7" t="s">
        <v>89</v>
      </c>
      <c r="D72" s="9" t="s">
        <v>115</v>
      </c>
      <c r="E72" s="9" t="s">
        <v>203</v>
      </c>
      <c r="F72" s="7">
        <v>1.4</v>
      </c>
      <c r="G72" s="7">
        <v>2014</v>
      </c>
      <c r="H72" s="5">
        <f>(F72*700000)/1000000</f>
        <v>0.97999999999999987</v>
      </c>
      <c r="I72" s="7" t="s">
        <v>17</v>
      </c>
      <c r="J72" s="8">
        <v>42.962200000000003</v>
      </c>
      <c r="K72" s="8">
        <v>144.42660000000001</v>
      </c>
      <c r="L72" s="7" t="s">
        <v>28</v>
      </c>
    </row>
    <row r="73" spans="1:12" ht="13.5" x14ac:dyDescent="0.35">
      <c r="A73" s="7" t="s">
        <v>113</v>
      </c>
      <c r="B73" s="7" t="s">
        <v>114</v>
      </c>
      <c r="C73" s="7" t="s">
        <v>89</v>
      </c>
      <c r="D73" s="9" t="s">
        <v>116</v>
      </c>
      <c r="E73" s="9" t="s">
        <v>224</v>
      </c>
      <c r="F73" s="7">
        <v>21</v>
      </c>
      <c r="G73" s="7">
        <v>2004</v>
      </c>
      <c r="H73" s="5">
        <f>+(F73*3000000)/1000000</f>
        <v>63</v>
      </c>
      <c r="I73" s="7" t="s">
        <v>17</v>
      </c>
      <c r="J73" s="8">
        <v>34.430500000000002</v>
      </c>
      <c r="K73" s="8">
        <v>133.43440000000001</v>
      </c>
      <c r="L73" s="7" t="s">
        <v>84</v>
      </c>
    </row>
    <row r="74" spans="1:12" ht="13.5" x14ac:dyDescent="0.35">
      <c r="A74" s="7" t="s">
        <v>113</v>
      </c>
      <c r="B74" s="7" t="s">
        <v>114</v>
      </c>
      <c r="C74" s="7" t="s">
        <v>89</v>
      </c>
      <c r="D74" s="9" t="s">
        <v>117</v>
      </c>
      <c r="E74" s="9" t="s">
        <v>225</v>
      </c>
      <c r="F74" s="7">
        <v>20</v>
      </c>
      <c r="G74" s="7">
        <v>2014</v>
      </c>
      <c r="H74" s="7">
        <f>(F74*1300000)/1000000</f>
        <v>26</v>
      </c>
      <c r="I74" s="7" t="s">
        <v>17</v>
      </c>
      <c r="J74" s="8">
        <v>33.987400000000001</v>
      </c>
      <c r="K74" s="8">
        <v>135.43029999999999</v>
      </c>
      <c r="L74" s="7" t="s">
        <v>30</v>
      </c>
    </row>
    <row r="75" spans="1:12" ht="13.5" x14ac:dyDescent="0.35">
      <c r="A75" s="7" t="s">
        <v>113</v>
      </c>
      <c r="B75" s="7" t="s">
        <v>114</v>
      </c>
      <c r="C75" s="7" t="s">
        <v>89</v>
      </c>
      <c r="D75" s="9" t="s">
        <v>118</v>
      </c>
      <c r="E75" s="9" t="s">
        <v>226</v>
      </c>
      <c r="F75" s="7">
        <v>2000</v>
      </c>
      <c r="G75" s="7">
        <v>2008</v>
      </c>
      <c r="H75" s="7">
        <f>(F75*2000000)/1000000</f>
        <v>4000</v>
      </c>
      <c r="I75" s="7" t="s">
        <v>17</v>
      </c>
      <c r="J75" s="8">
        <v>36.436799999999998</v>
      </c>
      <c r="K75" s="8">
        <v>140.6138</v>
      </c>
      <c r="L75" s="7" t="s">
        <v>26</v>
      </c>
    </row>
    <row r="76" spans="1:12" ht="13.5" x14ac:dyDescent="0.35">
      <c r="A76" s="7" t="s">
        <v>113</v>
      </c>
      <c r="B76" s="7" t="s">
        <v>114</v>
      </c>
      <c r="C76" s="7" t="s">
        <v>89</v>
      </c>
      <c r="D76" s="9" t="s">
        <v>119</v>
      </c>
      <c r="E76" s="9" t="s">
        <v>227</v>
      </c>
      <c r="F76" s="7">
        <v>18</v>
      </c>
      <c r="G76" s="7">
        <v>2010</v>
      </c>
      <c r="H76" s="7">
        <f>(F76*1300000)/1000000</f>
        <v>23.4</v>
      </c>
      <c r="I76" s="7" t="s">
        <v>17</v>
      </c>
      <c r="J76" s="8">
        <v>33.438899999999997</v>
      </c>
      <c r="K76" s="8">
        <v>132.23269999999999</v>
      </c>
      <c r="L76" s="7" t="s">
        <v>30</v>
      </c>
    </row>
    <row r="77" spans="1:12" ht="13.5" x14ac:dyDescent="0.35">
      <c r="A77" s="7" t="s">
        <v>113</v>
      </c>
      <c r="B77" s="7" t="s">
        <v>114</v>
      </c>
      <c r="C77" s="7" t="s">
        <v>89</v>
      </c>
      <c r="D77" s="9" t="s">
        <v>120</v>
      </c>
      <c r="E77" s="9" t="s">
        <v>228</v>
      </c>
      <c r="F77" s="7">
        <v>112</v>
      </c>
      <c r="G77" s="7">
        <v>2017</v>
      </c>
      <c r="H77" s="7">
        <f>(F77*2000000)/1000000</f>
        <v>224</v>
      </c>
      <c r="I77" s="7" t="s">
        <v>17</v>
      </c>
      <c r="J77" s="8">
        <v>38.268099999999997</v>
      </c>
      <c r="K77" s="8">
        <v>141.00919999999999</v>
      </c>
      <c r="L77" s="7" t="s">
        <v>26</v>
      </c>
    </row>
    <row r="78" spans="1:12" ht="13.5" x14ac:dyDescent="0.35">
      <c r="A78" s="7" t="s">
        <v>113</v>
      </c>
      <c r="B78" s="7" t="s">
        <v>114</v>
      </c>
      <c r="C78" s="7" t="s">
        <v>89</v>
      </c>
      <c r="D78" s="9" t="s">
        <v>121</v>
      </c>
      <c r="E78" s="9" t="s">
        <v>229</v>
      </c>
      <c r="F78" s="7">
        <v>840</v>
      </c>
      <c r="G78" s="7">
        <v>2008</v>
      </c>
      <c r="H78" s="7">
        <f t="shared" ref="H78" si="5">(F78*900000)/1000000</f>
        <v>756</v>
      </c>
      <c r="I78" s="7" t="s">
        <v>17</v>
      </c>
      <c r="J78" s="8">
        <v>35.512099999999997</v>
      </c>
      <c r="K78" s="8">
        <v>139.76249999999999</v>
      </c>
      <c r="L78" s="7" t="s">
        <v>18</v>
      </c>
    </row>
    <row r="79" spans="1:12" ht="13.5" x14ac:dyDescent="0.35">
      <c r="A79" s="7" t="s">
        <v>113</v>
      </c>
      <c r="B79" s="7" t="s">
        <v>114</v>
      </c>
      <c r="C79" s="7" t="s">
        <v>89</v>
      </c>
      <c r="D79" s="9" t="s">
        <v>122</v>
      </c>
      <c r="E79" s="9" t="s">
        <v>230</v>
      </c>
      <c r="F79" s="7">
        <v>2.1</v>
      </c>
      <c r="G79" s="7">
        <v>2014</v>
      </c>
      <c r="H79" s="5">
        <f>(F79*700000)/1000000</f>
        <v>1.47</v>
      </c>
      <c r="I79" s="7" t="s">
        <v>17</v>
      </c>
      <c r="J79" s="8">
        <v>42.9559</v>
      </c>
      <c r="K79" s="8">
        <v>144.43539999999999</v>
      </c>
      <c r="L79" s="7" t="s">
        <v>28</v>
      </c>
    </row>
    <row r="80" spans="1:12" ht="13.5" x14ac:dyDescent="0.35">
      <c r="A80" s="7" t="s">
        <v>113</v>
      </c>
      <c r="B80" s="7" t="s">
        <v>114</v>
      </c>
      <c r="C80" s="7" t="s">
        <v>89</v>
      </c>
      <c r="D80" s="9" t="s">
        <v>123</v>
      </c>
      <c r="E80" s="9" t="s">
        <v>231</v>
      </c>
      <c r="F80" s="7">
        <v>112</v>
      </c>
      <c r="G80" s="7">
        <v>2017</v>
      </c>
      <c r="H80" s="7">
        <f>(F80*2000000)/1000000</f>
        <v>224</v>
      </c>
      <c r="I80" s="7" t="s">
        <v>17</v>
      </c>
      <c r="J80" s="8">
        <v>34.509900000000002</v>
      </c>
      <c r="K80" s="8">
        <v>133.7458</v>
      </c>
      <c r="L80" s="7" t="s">
        <v>26</v>
      </c>
    </row>
    <row r="81" spans="1:12" ht="13.5" x14ac:dyDescent="0.35">
      <c r="A81" s="7" t="s">
        <v>113</v>
      </c>
      <c r="B81" s="7" t="s">
        <v>114</v>
      </c>
      <c r="C81" s="7" t="s">
        <v>89</v>
      </c>
      <c r="D81" s="9" t="s">
        <v>124</v>
      </c>
      <c r="E81" s="9" t="s">
        <v>232</v>
      </c>
      <c r="F81" s="7">
        <v>110</v>
      </c>
      <c r="G81" s="7">
        <v>2017</v>
      </c>
      <c r="H81" s="7">
        <f>(F81*2000000)/1000000</f>
        <v>220</v>
      </c>
      <c r="I81" s="7" t="s">
        <v>17</v>
      </c>
      <c r="J81" s="8">
        <v>35.065899999999999</v>
      </c>
      <c r="K81" s="8">
        <v>136.87780000000001</v>
      </c>
      <c r="L81" s="7" t="s">
        <v>26</v>
      </c>
    </row>
    <row r="82" spans="1:12" ht="13.5" x14ac:dyDescent="0.35">
      <c r="A82" s="7" t="s">
        <v>125</v>
      </c>
      <c r="B82" s="7" t="s">
        <v>126</v>
      </c>
      <c r="C82" s="7" t="s">
        <v>127</v>
      </c>
      <c r="D82" s="9" t="s">
        <v>128</v>
      </c>
      <c r="E82" s="9" t="s">
        <v>213</v>
      </c>
      <c r="F82" s="7">
        <v>134.4</v>
      </c>
      <c r="G82" s="7">
        <v>2016</v>
      </c>
      <c r="H82" s="7">
        <f>(F82*1300000)/1000000</f>
        <v>174.72</v>
      </c>
      <c r="I82" s="7" t="s">
        <v>17</v>
      </c>
      <c r="J82" s="8">
        <v>-32.875</v>
      </c>
      <c r="K82" s="8">
        <v>25.997699999999998</v>
      </c>
      <c r="L82" s="7" t="s">
        <v>30</v>
      </c>
    </row>
    <row r="83" spans="1:12" ht="13.5" x14ac:dyDescent="0.35">
      <c r="A83" s="7" t="s">
        <v>125</v>
      </c>
      <c r="B83" s="7" t="s">
        <v>126</v>
      </c>
      <c r="C83" s="7" t="s">
        <v>127</v>
      </c>
      <c r="D83" s="9" t="s">
        <v>129</v>
      </c>
      <c r="E83" s="9" t="s">
        <v>233</v>
      </c>
      <c r="F83" s="7">
        <v>10.65</v>
      </c>
      <c r="G83" s="7">
        <v>2014</v>
      </c>
      <c r="H83" s="5">
        <f>(F83*700000)/1000000</f>
        <v>7.4550000000000001</v>
      </c>
      <c r="I83" s="7" t="s">
        <v>17</v>
      </c>
      <c r="J83" s="8">
        <v>-29.497</v>
      </c>
      <c r="K83" s="8">
        <v>20.7852</v>
      </c>
      <c r="L83" s="7" t="s">
        <v>28</v>
      </c>
    </row>
    <row r="84" spans="1:12" ht="13.5" x14ac:dyDescent="0.35">
      <c r="A84" s="7" t="s">
        <v>125</v>
      </c>
      <c r="B84" s="7" t="s">
        <v>126</v>
      </c>
      <c r="C84" s="7" t="s">
        <v>127</v>
      </c>
      <c r="D84" s="9" t="s">
        <v>130</v>
      </c>
      <c r="E84" s="9" t="s">
        <v>234</v>
      </c>
      <c r="F84" s="7">
        <v>75</v>
      </c>
      <c r="G84" s="7">
        <v>2016</v>
      </c>
      <c r="H84" s="5">
        <f>(F84*700000)/1000000</f>
        <v>52.5</v>
      </c>
      <c r="I84" s="7" t="s">
        <v>17</v>
      </c>
      <c r="J84" s="8">
        <v>-30.596</v>
      </c>
      <c r="K84" s="8">
        <v>24.102599999999999</v>
      </c>
      <c r="L84" s="7" t="s">
        <v>28</v>
      </c>
    </row>
    <row r="85" spans="1:12" ht="13.5" x14ac:dyDescent="0.35">
      <c r="A85" s="7" t="s">
        <v>125</v>
      </c>
      <c r="B85" s="7" t="s">
        <v>126</v>
      </c>
      <c r="C85" s="7" t="s">
        <v>127</v>
      </c>
      <c r="D85" s="9" t="s">
        <v>131</v>
      </c>
      <c r="E85" s="9" t="s">
        <v>235</v>
      </c>
      <c r="F85" s="7">
        <v>740</v>
      </c>
      <c r="G85" s="7">
        <v>2007</v>
      </c>
      <c r="H85" s="7">
        <f>(F85*1100000)/1000000</f>
        <v>814</v>
      </c>
      <c r="I85" s="7" t="s">
        <v>17</v>
      </c>
      <c r="J85" s="8">
        <v>-34.165300000000002</v>
      </c>
      <c r="K85" s="8">
        <v>21.960799999999999</v>
      </c>
      <c r="L85" s="7" t="s">
        <v>22</v>
      </c>
    </row>
    <row r="86" spans="1:12" ht="13.5" x14ac:dyDescent="0.35">
      <c r="A86" s="7" t="s">
        <v>125</v>
      </c>
      <c r="B86" s="7" t="s">
        <v>126</v>
      </c>
      <c r="C86" s="7" t="s">
        <v>127</v>
      </c>
      <c r="D86" s="9" t="s">
        <v>132</v>
      </c>
      <c r="E86" s="9" t="s">
        <v>236</v>
      </c>
      <c r="F86" s="7">
        <v>138</v>
      </c>
      <c r="G86" s="7">
        <v>2014</v>
      </c>
      <c r="H86" s="7">
        <f>(F86*1300000)/1000000</f>
        <v>179.4</v>
      </c>
      <c r="I86" s="7" t="s">
        <v>17</v>
      </c>
      <c r="J86" s="8">
        <v>-33.996200000000002</v>
      </c>
      <c r="K86" s="8">
        <v>24.843499999999999</v>
      </c>
      <c r="L86" s="7" t="s">
        <v>30</v>
      </c>
    </row>
    <row r="87" spans="1:12" ht="13.5" x14ac:dyDescent="0.35">
      <c r="A87" s="7" t="s">
        <v>125</v>
      </c>
      <c r="B87" s="7" t="s">
        <v>126</v>
      </c>
      <c r="C87" s="7" t="s">
        <v>127</v>
      </c>
      <c r="D87" s="9" t="s">
        <v>133</v>
      </c>
      <c r="E87" s="9" t="s">
        <v>237</v>
      </c>
      <c r="F87" s="7">
        <v>140</v>
      </c>
      <c r="G87" s="7">
        <v>2017</v>
      </c>
      <c r="H87" s="7">
        <f>(F87*1300000)/1000000</f>
        <v>182</v>
      </c>
      <c r="I87" s="7" t="s">
        <v>17</v>
      </c>
      <c r="J87" s="8">
        <v>-30.403700000000001</v>
      </c>
      <c r="K87" s="8">
        <v>19.589099999999998</v>
      </c>
      <c r="L87" s="7" t="s">
        <v>30</v>
      </c>
    </row>
    <row r="88" spans="1:12" ht="13.5" x14ac:dyDescent="0.35">
      <c r="A88" s="7" t="s">
        <v>125</v>
      </c>
      <c r="B88" s="7" t="s">
        <v>126</v>
      </c>
      <c r="C88" s="7" t="s">
        <v>127</v>
      </c>
      <c r="D88" s="9" t="s">
        <v>134</v>
      </c>
      <c r="E88" s="9" t="s">
        <v>238</v>
      </c>
      <c r="F88" s="7">
        <v>86</v>
      </c>
      <c r="G88" s="7">
        <v>2016</v>
      </c>
      <c r="H88" s="5">
        <f>(F88*700000)/1000000</f>
        <v>60.2</v>
      </c>
      <c r="I88" s="7" t="s">
        <v>17</v>
      </c>
      <c r="J88" s="8">
        <v>-30.0246</v>
      </c>
      <c r="K88" s="8">
        <v>22.339200000000002</v>
      </c>
      <c r="L88" s="7" t="s">
        <v>28</v>
      </c>
    </row>
    <row r="89" spans="1:12" ht="13.5" x14ac:dyDescent="0.35">
      <c r="A89" s="7" t="s">
        <v>125</v>
      </c>
      <c r="B89" s="7" t="s">
        <v>126</v>
      </c>
      <c r="C89" s="7" t="s">
        <v>127</v>
      </c>
      <c r="D89" s="9" t="s">
        <v>135</v>
      </c>
      <c r="E89" s="9" t="s">
        <v>239</v>
      </c>
      <c r="F89" s="7">
        <v>82.5</v>
      </c>
      <c r="G89" s="7">
        <v>2017</v>
      </c>
      <c r="H89" s="5">
        <f>(F89*700000)/1000000</f>
        <v>57.75</v>
      </c>
      <c r="I89" s="7" t="s">
        <v>17</v>
      </c>
      <c r="J89" s="8">
        <v>-29.038699999999999</v>
      </c>
      <c r="K89" s="8">
        <v>24.933199999999999</v>
      </c>
      <c r="L89" s="7" t="s">
        <v>28</v>
      </c>
    </row>
    <row r="90" spans="1:12" ht="13.5" x14ac:dyDescent="0.35">
      <c r="A90" s="7" t="s">
        <v>125</v>
      </c>
      <c r="B90" s="7" t="s">
        <v>126</v>
      </c>
      <c r="C90" s="7" t="s">
        <v>127</v>
      </c>
      <c r="D90" s="9" t="s">
        <v>136</v>
      </c>
      <c r="E90" s="9" t="s">
        <v>240</v>
      </c>
      <c r="F90" s="7">
        <v>100</v>
      </c>
      <c r="G90" s="7">
        <v>2015</v>
      </c>
      <c r="H90" s="7">
        <f>(F90*1300000)/1000000</f>
        <v>130</v>
      </c>
      <c r="I90" s="7" t="s">
        <v>17</v>
      </c>
      <c r="J90" s="8">
        <v>-31.512799999999999</v>
      </c>
      <c r="K90" s="8">
        <v>18.0914</v>
      </c>
      <c r="L90" s="7" t="s">
        <v>30</v>
      </c>
    </row>
    <row r="91" spans="1:12" ht="13.5" x14ac:dyDescent="0.35">
      <c r="A91" s="7" t="s">
        <v>125</v>
      </c>
      <c r="B91" s="7" t="s">
        <v>126</v>
      </c>
      <c r="C91" s="7" t="s">
        <v>127</v>
      </c>
      <c r="D91" s="9" t="s">
        <v>137</v>
      </c>
      <c r="E91" s="9" t="s">
        <v>241</v>
      </c>
      <c r="F91" s="7">
        <v>23</v>
      </c>
      <c r="G91" s="7">
        <v>2016</v>
      </c>
      <c r="H91" s="7">
        <f>(F91*1300000)/1000000</f>
        <v>29.9</v>
      </c>
      <c r="I91" s="7" t="s">
        <v>17</v>
      </c>
      <c r="J91" s="8">
        <v>-33.323799999999999</v>
      </c>
      <c r="K91" s="8">
        <v>26.464200000000002</v>
      </c>
      <c r="L91" s="7" t="s">
        <v>30</v>
      </c>
    </row>
    <row r="92" spans="1:12" ht="13.5" x14ac:dyDescent="0.35">
      <c r="A92" s="7" t="s">
        <v>138</v>
      </c>
      <c r="B92" s="7" t="s">
        <v>139</v>
      </c>
      <c r="C92" s="7" t="s">
        <v>89</v>
      </c>
      <c r="D92" s="9" t="s">
        <v>140</v>
      </c>
      <c r="E92" s="9" t="s">
        <v>223</v>
      </c>
      <c r="F92" s="7">
        <v>120</v>
      </c>
      <c r="G92" s="7">
        <v>2015</v>
      </c>
      <c r="H92" s="7">
        <f>(F92*2000000)/1000000</f>
        <v>240</v>
      </c>
      <c r="I92" s="7" t="s">
        <v>17</v>
      </c>
      <c r="J92" s="8">
        <v>21.596900000000002</v>
      </c>
      <c r="K92" s="8">
        <v>105.767</v>
      </c>
      <c r="L92" s="7" t="s">
        <v>26</v>
      </c>
    </row>
    <row r="93" spans="1:12" ht="13.5" x14ac:dyDescent="0.35">
      <c r="A93" s="7" t="s">
        <v>138</v>
      </c>
      <c r="B93" s="7" t="s">
        <v>139</v>
      </c>
      <c r="C93" s="7" t="s">
        <v>89</v>
      </c>
      <c r="D93" s="9" t="s">
        <v>141</v>
      </c>
      <c r="E93" s="9" t="s">
        <v>242</v>
      </c>
      <c r="F93" s="7">
        <v>30</v>
      </c>
      <c r="G93" s="7">
        <v>2016</v>
      </c>
      <c r="H93" s="7">
        <f>(F93*2000000)/1000000</f>
        <v>60</v>
      </c>
      <c r="I93" s="7" t="s">
        <v>17</v>
      </c>
      <c r="J93" s="8">
        <v>22.414400000000001</v>
      </c>
      <c r="K93" s="8">
        <v>103.9066</v>
      </c>
      <c r="L93" s="7" t="s">
        <v>20</v>
      </c>
    </row>
    <row r="94" spans="1:12" ht="13.5" x14ac:dyDescent="0.35">
      <c r="A94" s="7" t="s">
        <v>138</v>
      </c>
      <c r="B94" s="7" t="s">
        <v>139</v>
      </c>
      <c r="C94" s="7" t="s">
        <v>89</v>
      </c>
      <c r="D94" s="9" t="s">
        <v>142</v>
      </c>
      <c r="E94" s="9" t="s">
        <v>243</v>
      </c>
      <c r="F94" s="7">
        <v>28</v>
      </c>
      <c r="G94" s="7">
        <v>2015</v>
      </c>
      <c r="H94" s="7">
        <f>(F94*2000000)/1000000</f>
        <v>56</v>
      </c>
      <c r="I94" s="7" t="s">
        <v>17</v>
      </c>
      <c r="J94" s="8">
        <v>11.8186</v>
      </c>
      <c r="K94" s="8">
        <v>107.459</v>
      </c>
      <c r="L94" s="7" t="s">
        <v>20</v>
      </c>
    </row>
    <row r="95" spans="1:12" ht="13.5" x14ac:dyDescent="0.35">
      <c r="A95" s="7" t="s">
        <v>138</v>
      </c>
      <c r="B95" s="7" t="s">
        <v>139</v>
      </c>
      <c r="C95" s="7" t="s">
        <v>89</v>
      </c>
      <c r="D95" s="9" t="s">
        <v>143</v>
      </c>
      <c r="E95" s="9" t="s">
        <v>244</v>
      </c>
      <c r="F95" s="7">
        <v>70</v>
      </c>
      <c r="G95" s="7">
        <v>2015</v>
      </c>
      <c r="H95" s="7">
        <f>(F95*2000000)/1000000</f>
        <v>140</v>
      </c>
      <c r="I95" s="7" t="s">
        <v>17</v>
      </c>
      <c r="J95" s="8">
        <v>11.712899999999999</v>
      </c>
      <c r="K95" s="8">
        <v>108.0579</v>
      </c>
      <c r="L95" s="7" t="s">
        <v>20</v>
      </c>
    </row>
    <row r="96" spans="1:12" ht="13.5" x14ac:dyDescent="0.35">
      <c r="A96" s="7" t="s">
        <v>138</v>
      </c>
      <c r="B96" s="7" t="s">
        <v>139</v>
      </c>
      <c r="C96" s="7" t="s">
        <v>89</v>
      </c>
      <c r="D96" s="9" t="s">
        <v>144</v>
      </c>
      <c r="E96" s="9" t="s">
        <v>245</v>
      </c>
      <c r="F96" s="7">
        <v>18</v>
      </c>
      <c r="G96" s="7">
        <v>2016</v>
      </c>
      <c r="H96" s="7">
        <f>(F96*2000000)/1000000</f>
        <v>36</v>
      </c>
      <c r="I96" s="7" t="s">
        <v>17</v>
      </c>
      <c r="J96" s="8">
        <v>12.2117</v>
      </c>
      <c r="K96" s="8">
        <v>108.2847</v>
      </c>
      <c r="L96" s="7" t="s">
        <v>20</v>
      </c>
    </row>
    <row r="97" spans="1:12" ht="13.5" x14ac:dyDescent="0.35">
      <c r="A97" s="7" t="s">
        <v>138</v>
      </c>
      <c r="B97" s="7" t="s">
        <v>139</v>
      </c>
      <c r="C97" s="7" t="s">
        <v>89</v>
      </c>
      <c r="D97" s="9" t="s">
        <v>145</v>
      </c>
      <c r="E97" s="9" t="s">
        <v>246</v>
      </c>
      <c r="F97" s="7">
        <v>21</v>
      </c>
      <c r="G97" s="7">
        <v>2017</v>
      </c>
      <c r="H97" s="7">
        <f>(F97*1300000)/1000000</f>
        <v>27.3</v>
      </c>
      <c r="I97" s="7" t="s">
        <v>17</v>
      </c>
      <c r="J97" s="8">
        <v>13.9077</v>
      </c>
      <c r="K97" s="8">
        <v>109.26</v>
      </c>
      <c r="L97" s="7" t="s">
        <v>30</v>
      </c>
    </row>
    <row r="98" spans="1:12" ht="13.5" x14ac:dyDescent="0.35">
      <c r="A98" s="7" t="s">
        <v>138</v>
      </c>
      <c r="B98" s="7" t="s">
        <v>139</v>
      </c>
      <c r="C98" s="7" t="s">
        <v>89</v>
      </c>
      <c r="D98" s="9" t="s">
        <v>146</v>
      </c>
      <c r="E98" s="9" t="s">
        <v>247</v>
      </c>
      <c r="F98" s="7">
        <v>156</v>
      </c>
      <c r="G98" s="7">
        <v>2015</v>
      </c>
      <c r="H98" s="7">
        <f>(F98*2000000)/1000000</f>
        <v>312</v>
      </c>
      <c r="I98" s="7" t="s">
        <v>17</v>
      </c>
      <c r="J98" s="8">
        <v>15.7258</v>
      </c>
      <c r="K98" s="8">
        <v>107.6512</v>
      </c>
      <c r="L98" s="7" t="s">
        <v>20</v>
      </c>
    </row>
    <row r="99" spans="1:12" ht="13.5" x14ac:dyDescent="0.35">
      <c r="A99" s="7" t="s">
        <v>138</v>
      </c>
      <c r="B99" s="7" t="s">
        <v>139</v>
      </c>
      <c r="C99" s="7" t="s">
        <v>89</v>
      </c>
      <c r="D99" s="9" t="s">
        <v>147</v>
      </c>
      <c r="E99" s="9" t="s">
        <v>248</v>
      </c>
      <c r="F99" s="7">
        <v>600</v>
      </c>
      <c r="G99" s="7">
        <v>2017</v>
      </c>
      <c r="H99" s="7">
        <f>(F99*2000000)/1000000</f>
        <v>1200</v>
      </c>
      <c r="I99" s="7" t="s">
        <v>17</v>
      </c>
      <c r="J99" s="8">
        <v>20.481000000000002</v>
      </c>
      <c r="K99" s="8">
        <v>106.5605</v>
      </c>
      <c r="L99" s="7" t="s">
        <v>26</v>
      </c>
    </row>
    <row r="100" spans="1:12" ht="13.5" x14ac:dyDescent="0.35">
      <c r="A100" s="7" t="s">
        <v>138</v>
      </c>
      <c r="B100" s="7" t="s">
        <v>139</v>
      </c>
      <c r="C100" s="7" t="s">
        <v>89</v>
      </c>
      <c r="D100" s="9" t="s">
        <v>148</v>
      </c>
      <c r="E100" s="9" t="s">
        <v>249</v>
      </c>
      <c r="F100" s="7">
        <v>32</v>
      </c>
      <c r="G100" s="7">
        <v>2017</v>
      </c>
      <c r="H100" s="7">
        <f>(F100*1300000)/1000000</f>
        <v>41.6</v>
      </c>
      <c r="I100" s="7" t="s">
        <v>17</v>
      </c>
      <c r="J100" s="8">
        <v>11.0525</v>
      </c>
      <c r="K100" s="8">
        <v>108.41</v>
      </c>
      <c r="L100" s="7" t="s">
        <v>30</v>
      </c>
    </row>
    <row r="101" spans="1:12" ht="13.5" x14ac:dyDescent="0.35">
      <c r="A101" s="7" t="s">
        <v>138</v>
      </c>
      <c r="B101" s="7" t="s">
        <v>139</v>
      </c>
      <c r="C101" s="7" t="s">
        <v>89</v>
      </c>
      <c r="D101" s="9" t="s">
        <v>149</v>
      </c>
      <c r="E101" s="9" t="s">
        <v>250</v>
      </c>
      <c r="F101" s="7">
        <v>19.5</v>
      </c>
      <c r="G101" s="7">
        <v>2010</v>
      </c>
      <c r="H101" s="7">
        <f>(F101*2000000)/1000000</f>
        <v>39</v>
      </c>
      <c r="I101" s="7" t="s">
        <v>17</v>
      </c>
      <c r="J101" s="8">
        <v>12.1526</v>
      </c>
      <c r="K101" s="8">
        <v>108.37869999999999</v>
      </c>
      <c r="L101" s="7" t="s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41"/>
  <sheetViews>
    <sheetView topLeftCell="A7" workbookViewId="0">
      <selection activeCell="E38" sqref="E38"/>
    </sheetView>
  </sheetViews>
  <sheetFormatPr defaultColWidth="12.59765625" defaultRowHeight="15.75" customHeight="1" x14ac:dyDescent="0.35"/>
  <cols>
    <col min="4" max="4" width="17.6640625" customWidth="1"/>
  </cols>
  <sheetData>
    <row r="1" spans="1:4" ht="12.75" x14ac:dyDescent="0.35">
      <c r="A1" s="1" t="s">
        <v>7</v>
      </c>
      <c r="B1" s="1" t="s">
        <v>10</v>
      </c>
      <c r="C1" s="1" t="s">
        <v>150</v>
      </c>
      <c r="D1" s="1" t="s">
        <v>251</v>
      </c>
    </row>
    <row r="2" spans="1:4" ht="15.75" customHeight="1" x14ac:dyDescent="0.35">
      <c r="A2" t="s">
        <v>17</v>
      </c>
      <c r="B2" t="s">
        <v>18</v>
      </c>
      <c r="C2" t="s">
        <v>252</v>
      </c>
      <c r="D2">
        <v>0.6</v>
      </c>
    </row>
    <row r="3" spans="1:4" ht="15.75" customHeight="1" x14ac:dyDescent="0.35">
      <c r="A3" t="s">
        <v>17</v>
      </c>
      <c r="B3" t="s">
        <v>18</v>
      </c>
      <c r="C3" t="s">
        <v>253</v>
      </c>
      <c r="D3">
        <v>0.5</v>
      </c>
    </row>
    <row r="4" spans="1:4" ht="15.75" customHeight="1" x14ac:dyDescent="0.35">
      <c r="A4" t="s">
        <v>17</v>
      </c>
      <c r="B4" t="s">
        <v>18</v>
      </c>
      <c r="C4" t="s">
        <v>254</v>
      </c>
      <c r="D4">
        <v>0.6</v>
      </c>
    </row>
    <row r="5" spans="1:4" ht="15.75" customHeight="1" x14ac:dyDescent="0.35">
      <c r="A5" t="s">
        <v>17</v>
      </c>
      <c r="B5" t="s">
        <v>18</v>
      </c>
      <c r="C5" t="s">
        <v>255</v>
      </c>
      <c r="D5">
        <v>0.4</v>
      </c>
    </row>
    <row r="6" spans="1:4" ht="15.75" customHeight="1" x14ac:dyDescent="0.35">
      <c r="A6" t="s">
        <v>17</v>
      </c>
      <c r="B6" t="s">
        <v>22</v>
      </c>
      <c r="C6" t="s">
        <v>252</v>
      </c>
      <c r="D6">
        <v>0.5</v>
      </c>
    </row>
    <row r="7" spans="1:4" ht="15.75" customHeight="1" x14ac:dyDescent="0.35">
      <c r="A7" t="s">
        <v>17</v>
      </c>
      <c r="B7" t="s">
        <v>22</v>
      </c>
      <c r="C7" t="s">
        <v>253</v>
      </c>
      <c r="D7">
        <v>0.6</v>
      </c>
    </row>
    <row r="8" spans="1:4" ht="15.75" customHeight="1" x14ac:dyDescent="0.35">
      <c r="A8" t="s">
        <v>17</v>
      </c>
      <c r="B8" t="s">
        <v>22</v>
      </c>
      <c r="C8" t="s">
        <v>254</v>
      </c>
      <c r="D8">
        <v>0.4</v>
      </c>
    </row>
    <row r="9" spans="1:4" ht="15.75" customHeight="1" x14ac:dyDescent="0.35">
      <c r="A9" t="s">
        <v>17</v>
      </c>
      <c r="B9" t="s">
        <v>22</v>
      </c>
      <c r="C9" t="s">
        <v>255</v>
      </c>
      <c r="D9">
        <v>0.5</v>
      </c>
    </row>
    <row r="10" spans="1:4" ht="15.75" customHeight="1" x14ac:dyDescent="0.35">
      <c r="A10" t="s">
        <v>17</v>
      </c>
      <c r="B10" t="s">
        <v>24</v>
      </c>
      <c r="C10" t="s">
        <v>252</v>
      </c>
      <c r="D10">
        <v>0.7</v>
      </c>
    </row>
    <row r="11" spans="1:4" ht="15.75" customHeight="1" x14ac:dyDescent="0.35">
      <c r="A11" t="s">
        <v>17</v>
      </c>
      <c r="B11" t="s">
        <v>24</v>
      </c>
      <c r="C11" t="s">
        <v>253</v>
      </c>
      <c r="D11">
        <v>0.8</v>
      </c>
    </row>
    <row r="12" spans="1:4" ht="15.75" customHeight="1" x14ac:dyDescent="0.35">
      <c r="A12" t="s">
        <v>17</v>
      </c>
      <c r="B12" t="s">
        <v>24</v>
      </c>
      <c r="C12" t="s">
        <v>254</v>
      </c>
      <c r="D12">
        <v>0.7</v>
      </c>
    </row>
    <row r="13" spans="1:4" ht="15.75" customHeight="1" x14ac:dyDescent="0.35">
      <c r="A13" t="s">
        <v>17</v>
      </c>
      <c r="B13" t="s">
        <v>24</v>
      </c>
      <c r="C13" t="s">
        <v>255</v>
      </c>
      <c r="D13">
        <v>0.4</v>
      </c>
    </row>
    <row r="14" spans="1:4" ht="15.75" customHeight="1" x14ac:dyDescent="0.35">
      <c r="A14" t="s">
        <v>17</v>
      </c>
      <c r="B14" t="s">
        <v>28</v>
      </c>
      <c r="C14" t="s">
        <v>252</v>
      </c>
      <c r="D14">
        <v>0.4</v>
      </c>
    </row>
    <row r="15" spans="1:4" ht="15.75" customHeight="1" x14ac:dyDescent="0.35">
      <c r="A15" t="s">
        <v>17</v>
      </c>
      <c r="B15" t="s">
        <v>28</v>
      </c>
      <c r="C15" t="s">
        <v>253</v>
      </c>
      <c r="D15">
        <v>0.5</v>
      </c>
    </row>
    <row r="16" spans="1:4" ht="15.75" customHeight="1" x14ac:dyDescent="0.35">
      <c r="A16" t="s">
        <v>17</v>
      </c>
      <c r="B16" t="s">
        <v>28</v>
      </c>
      <c r="C16" t="s">
        <v>254</v>
      </c>
      <c r="D16">
        <v>0.1</v>
      </c>
    </row>
    <row r="17" spans="1:4" ht="15.75" customHeight="1" x14ac:dyDescent="0.35">
      <c r="A17" t="s">
        <v>17</v>
      </c>
      <c r="B17" t="s">
        <v>28</v>
      </c>
      <c r="C17" t="s">
        <v>255</v>
      </c>
      <c r="D17">
        <v>0.6</v>
      </c>
    </row>
    <row r="18" spans="1:4" ht="15.75" customHeight="1" x14ac:dyDescent="0.35">
      <c r="A18" t="s">
        <v>17</v>
      </c>
      <c r="B18" t="s">
        <v>30</v>
      </c>
      <c r="C18" t="s">
        <v>252</v>
      </c>
      <c r="D18">
        <v>0.2</v>
      </c>
    </row>
    <row r="19" spans="1:4" ht="15.75" customHeight="1" x14ac:dyDescent="0.35">
      <c r="A19" t="s">
        <v>17</v>
      </c>
      <c r="B19" t="s">
        <v>30</v>
      </c>
      <c r="C19" t="s">
        <v>253</v>
      </c>
      <c r="D19">
        <v>0.3</v>
      </c>
    </row>
    <row r="20" spans="1:4" ht="15.75" customHeight="1" x14ac:dyDescent="0.35">
      <c r="A20" t="s">
        <v>17</v>
      </c>
      <c r="B20" t="s">
        <v>30</v>
      </c>
      <c r="C20" t="s">
        <v>254</v>
      </c>
      <c r="D20">
        <v>0</v>
      </c>
    </row>
    <row r="21" spans="1:4" ht="15.75" customHeight="1" x14ac:dyDescent="0.35">
      <c r="A21" t="s">
        <v>17</v>
      </c>
      <c r="B21" t="s">
        <v>30</v>
      </c>
      <c r="C21" t="s">
        <v>255</v>
      </c>
      <c r="D21">
        <v>0.7</v>
      </c>
    </row>
    <row r="22" spans="1:4" ht="15.75" customHeight="1" x14ac:dyDescent="0.35">
      <c r="A22" t="s">
        <v>17</v>
      </c>
      <c r="B22" t="s">
        <v>20</v>
      </c>
      <c r="C22" t="s">
        <v>252</v>
      </c>
      <c r="D22">
        <v>0.3</v>
      </c>
    </row>
    <row r="23" spans="1:4" ht="15.75" customHeight="1" x14ac:dyDescent="0.35">
      <c r="A23" t="s">
        <v>17</v>
      </c>
      <c r="B23" t="s">
        <v>20</v>
      </c>
      <c r="C23" t="s">
        <v>253</v>
      </c>
      <c r="D23">
        <v>0.6</v>
      </c>
    </row>
    <row r="24" spans="1:4" ht="15.75" customHeight="1" x14ac:dyDescent="0.35">
      <c r="A24" t="s">
        <v>17</v>
      </c>
      <c r="B24" t="s">
        <v>20</v>
      </c>
      <c r="C24" t="s">
        <v>254</v>
      </c>
      <c r="D24">
        <v>0.9</v>
      </c>
    </row>
    <row r="25" spans="1:4" ht="15.75" customHeight="1" x14ac:dyDescent="0.35">
      <c r="A25" t="s">
        <v>17</v>
      </c>
      <c r="B25" t="s">
        <v>20</v>
      </c>
      <c r="C25" t="s">
        <v>255</v>
      </c>
      <c r="D25">
        <v>0.4</v>
      </c>
    </row>
    <row r="26" spans="1:4" ht="15.75" customHeight="1" x14ac:dyDescent="0.35">
      <c r="A26" t="s">
        <v>17</v>
      </c>
      <c r="B26" t="s">
        <v>26</v>
      </c>
      <c r="C26" t="s">
        <v>252</v>
      </c>
      <c r="D26">
        <v>0.6</v>
      </c>
    </row>
    <row r="27" spans="1:4" ht="15.75" customHeight="1" x14ac:dyDescent="0.35">
      <c r="A27" t="s">
        <v>17</v>
      </c>
      <c r="B27" t="s">
        <v>26</v>
      </c>
      <c r="C27" t="s">
        <v>253</v>
      </c>
      <c r="D27">
        <v>0.6</v>
      </c>
    </row>
    <row r="28" spans="1:4" ht="15.75" customHeight="1" x14ac:dyDescent="0.35">
      <c r="A28" t="s">
        <v>17</v>
      </c>
      <c r="B28" t="s">
        <v>26</v>
      </c>
      <c r="C28" t="s">
        <v>254</v>
      </c>
      <c r="D28">
        <v>0.7</v>
      </c>
    </row>
    <row r="29" spans="1:4" ht="15.75" customHeight="1" x14ac:dyDescent="0.35">
      <c r="A29" t="s">
        <v>17</v>
      </c>
      <c r="B29" t="s">
        <v>26</v>
      </c>
      <c r="C29" t="s">
        <v>255</v>
      </c>
      <c r="D29">
        <v>0.4</v>
      </c>
    </row>
    <row r="30" spans="1:4" ht="15.75" customHeight="1" x14ac:dyDescent="0.35">
      <c r="A30" t="s">
        <v>17</v>
      </c>
      <c r="B30" t="s">
        <v>56</v>
      </c>
      <c r="C30" t="s">
        <v>252</v>
      </c>
      <c r="D30">
        <v>0.5</v>
      </c>
    </row>
    <row r="31" spans="1:4" ht="15.75" customHeight="1" x14ac:dyDescent="0.35">
      <c r="A31" t="s">
        <v>17</v>
      </c>
      <c r="B31" t="s">
        <v>56</v>
      </c>
      <c r="C31" t="s">
        <v>253</v>
      </c>
      <c r="D31">
        <v>0.6</v>
      </c>
    </row>
    <row r="32" spans="1:4" ht="15.75" customHeight="1" x14ac:dyDescent="0.35">
      <c r="A32" t="s">
        <v>17</v>
      </c>
      <c r="B32" t="s">
        <v>56</v>
      </c>
      <c r="C32" t="s">
        <v>254</v>
      </c>
      <c r="D32">
        <v>0.8</v>
      </c>
    </row>
    <row r="33" spans="1:4" ht="15.75" customHeight="1" x14ac:dyDescent="0.35">
      <c r="A33" t="s">
        <v>17</v>
      </c>
      <c r="B33" t="s">
        <v>56</v>
      </c>
      <c r="C33" t="s">
        <v>255</v>
      </c>
      <c r="D33">
        <v>0.4</v>
      </c>
    </row>
    <row r="34" spans="1:4" ht="15.75" customHeight="1" x14ac:dyDescent="0.35">
      <c r="A34" t="s">
        <v>17</v>
      </c>
      <c r="B34" t="s">
        <v>84</v>
      </c>
      <c r="C34" t="s">
        <v>252</v>
      </c>
      <c r="D34">
        <v>0.4</v>
      </c>
    </row>
    <row r="35" spans="1:4" ht="15.75" customHeight="1" x14ac:dyDescent="0.35">
      <c r="A35" t="s">
        <v>17</v>
      </c>
      <c r="B35" t="s">
        <v>84</v>
      </c>
      <c r="C35" t="s">
        <v>253</v>
      </c>
      <c r="D35">
        <v>0.7</v>
      </c>
    </row>
    <row r="36" spans="1:4" ht="15.75" customHeight="1" x14ac:dyDescent="0.35">
      <c r="A36" t="s">
        <v>17</v>
      </c>
      <c r="B36" t="s">
        <v>84</v>
      </c>
      <c r="C36" t="s">
        <v>254</v>
      </c>
      <c r="D36">
        <v>0.3</v>
      </c>
    </row>
    <row r="37" spans="1:4" ht="15.75" customHeight="1" x14ac:dyDescent="0.35">
      <c r="A37" t="s">
        <v>17</v>
      </c>
      <c r="B37" t="s">
        <v>84</v>
      </c>
      <c r="C37" t="s">
        <v>255</v>
      </c>
      <c r="D37">
        <v>0.5</v>
      </c>
    </row>
    <row r="38" spans="1:4" ht="15.75" customHeight="1" x14ac:dyDescent="0.35">
      <c r="A38" t="s">
        <v>17</v>
      </c>
      <c r="B38" t="s">
        <v>105</v>
      </c>
      <c r="C38" t="s">
        <v>252</v>
      </c>
      <c r="D38">
        <v>0.3</v>
      </c>
    </row>
    <row r="39" spans="1:4" ht="15.75" customHeight="1" x14ac:dyDescent="0.35">
      <c r="A39" t="s">
        <v>17</v>
      </c>
      <c r="B39" t="s">
        <v>105</v>
      </c>
      <c r="C39" t="s">
        <v>253</v>
      </c>
      <c r="D39">
        <v>0.4</v>
      </c>
    </row>
    <row r="40" spans="1:4" ht="15.75" customHeight="1" x14ac:dyDescent="0.35">
      <c r="A40" t="s">
        <v>17</v>
      </c>
      <c r="B40" t="s">
        <v>105</v>
      </c>
      <c r="C40" t="s">
        <v>254</v>
      </c>
      <c r="D40">
        <v>0.2</v>
      </c>
    </row>
    <row r="41" spans="1:4" ht="15.75" customHeight="1" x14ac:dyDescent="0.35">
      <c r="A41" t="s">
        <v>17</v>
      </c>
      <c r="B41" t="s">
        <v>105</v>
      </c>
      <c r="C41" t="s">
        <v>255</v>
      </c>
      <c r="D41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"/>
  <sheetViews>
    <sheetView workbookViewId="0">
      <selection activeCell="C2" sqref="C2"/>
    </sheetView>
  </sheetViews>
  <sheetFormatPr defaultColWidth="12.59765625" defaultRowHeight="15.75" customHeight="1" x14ac:dyDescent="0.35"/>
  <cols>
    <col min="2" max="2" width="20.33203125" customWidth="1"/>
    <col min="3" max="3" width="19.1328125" customWidth="1"/>
  </cols>
  <sheetData>
    <row r="1" spans="1:3" ht="15.75" customHeight="1" x14ac:dyDescent="0.35">
      <c r="A1" t="s">
        <v>256</v>
      </c>
      <c r="B1" t="s">
        <v>257</v>
      </c>
      <c r="C1" s="5" t="s">
        <v>270</v>
      </c>
    </row>
    <row r="2" spans="1:3" ht="15.75" customHeight="1" x14ac:dyDescent="0.35">
      <c r="A2" t="s">
        <v>259</v>
      </c>
      <c r="B2" t="s">
        <v>258</v>
      </c>
      <c r="C2">
        <v>1.8</v>
      </c>
    </row>
    <row r="3" spans="1:3" ht="15.75" customHeight="1" x14ac:dyDescent="0.35">
      <c r="A3" t="s">
        <v>260</v>
      </c>
      <c r="B3" t="s">
        <v>262</v>
      </c>
      <c r="C3">
        <v>2.7</v>
      </c>
    </row>
    <row r="4" spans="1:3" ht="15.75" customHeight="1" x14ac:dyDescent="0.35">
      <c r="A4" t="s">
        <v>261</v>
      </c>
      <c r="B4" t="s">
        <v>263</v>
      </c>
      <c r="C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8058-EC8F-4355-87D5-B8FF8DE468B3}">
  <dimension ref="A1:B5"/>
  <sheetViews>
    <sheetView workbookViewId="0">
      <selection activeCell="E10" sqref="E10"/>
    </sheetView>
  </sheetViews>
  <sheetFormatPr defaultRowHeight="12.75" x14ac:dyDescent="0.35"/>
  <cols>
    <col min="1" max="1" width="14.06640625" customWidth="1"/>
    <col min="2" max="2" width="24.1328125" customWidth="1"/>
  </cols>
  <sheetData>
    <row r="1" spans="1:2" x14ac:dyDescent="0.35">
      <c r="A1" t="s">
        <v>150</v>
      </c>
      <c r="B1" t="s">
        <v>257</v>
      </c>
    </row>
    <row r="2" spans="1:2" x14ac:dyDescent="0.35">
      <c r="A2" s="2" t="s">
        <v>252</v>
      </c>
      <c r="B2" s="2" t="s">
        <v>264</v>
      </c>
    </row>
    <row r="3" spans="1:2" x14ac:dyDescent="0.35">
      <c r="A3" s="2" t="s">
        <v>253</v>
      </c>
      <c r="B3" s="2" t="s">
        <v>265</v>
      </c>
    </row>
    <row r="4" spans="1:2" x14ac:dyDescent="0.35">
      <c r="A4" s="2" t="s">
        <v>254</v>
      </c>
      <c r="B4" s="2" t="s">
        <v>266</v>
      </c>
    </row>
    <row r="5" spans="1:2" x14ac:dyDescent="0.35">
      <c r="A5" s="2" t="s">
        <v>255</v>
      </c>
      <c r="B5" s="2" t="s">
        <v>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AD50-CC84-4766-831C-46FE4F781F4B}">
  <dimension ref="A1:B11"/>
  <sheetViews>
    <sheetView workbookViewId="0">
      <selection activeCell="D12" sqref="D12"/>
    </sheetView>
  </sheetViews>
  <sheetFormatPr defaultRowHeight="12.75" x14ac:dyDescent="0.35"/>
  <cols>
    <col min="1" max="1" width="16.73046875" customWidth="1"/>
    <col min="2" max="2" width="15.59765625" customWidth="1"/>
  </cols>
  <sheetData>
    <row r="1" spans="1:2" s="5" customFormat="1" x14ac:dyDescent="0.35">
      <c r="A1" s="4" t="s">
        <v>10</v>
      </c>
      <c r="B1" s="4" t="s">
        <v>268</v>
      </c>
    </row>
    <row r="2" spans="1:2" x14ac:dyDescent="0.35">
      <c r="A2" s="2" t="s">
        <v>18</v>
      </c>
      <c r="B2" s="3">
        <v>900000</v>
      </c>
    </row>
    <row r="3" spans="1:2" x14ac:dyDescent="0.35">
      <c r="A3" s="2" t="s">
        <v>22</v>
      </c>
      <c r="B3" s="3">
        <v>1100000</v>
      </c>
    </row>
    <row r="4" spans="1:2" x14ac:dyDescent="0.35">
      <c r="A4" s="2" t="s">
        <v>20</v>
      </c>
      <c r="B4" s="3">
        <v>2000000</v>
      </c>
    </row>
    <row r="5" spans="1:2" x14ac:dyDescent="0.35">
      <c r="A5" s="2" t="s">
        <v>24</v>
      </c>
      <c r="B5" s="3">
        <v>6000000</v>
      </c>
    </row>
    <row r="6" spans="1:2" x14ac:dyDescent="0.35">
      <c r="A6" s="2" t="s">
        <v>26</v>
      </c>
      <c r="B6" s="6">
        <v>2000000</v>
      </c>
    </row>
    <row r="7" spans="1:2" x14ac:dyDescent="0.35">
      <c r="A7" s="2" t="s">
        <v>28</v>
      </c>
      <c r="B7" s="3">
        <v>700000</v>
      </c>
    </row>
    <row r="8" spans="1:2" x14ac:dyDescent="0.35">
      <c r="A8" s="2" t="s">
        <v>30</v>
      </c>
      <c r="B8" s="3">
        <v>1300000</v>
      </c>
    </row>
    <row r="9" spans="1:2" x14ac:dyDescent="0.35">
      <c r="A9" s="2" t="s">
        <v>56</v>
      </c>
      <c r="B9" s="3">
        <v>2500000</v>
      </c>
    </row>
    <row r="10" spans="1:2" x14ac:dyDescent="0.35">
      <c r="A10" s="2" t="s">
        <v>84</v>
      </c>
      <c r="B10" s="3">
        <v>3000000</v>
      </c>
    </row>
    <row r="11" spans="1:2" x14ac:dyDescent="0.35">
      <c r="A11" s="2" t="s">
        <v>105</v>
      </c>
      <c r="B11" s="3">
        <v>3500000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Asset Inventory</vt:lpstr>
      <vt:lpstr>Vulnerability Rules</vt:lpstr>
      <vt:lpstr>Scenario Settings</vt:lpstr>
      <vt:lpstr>Hazard Definitions</vt:lpstr>
      <vt:lpstr>Asset Cost Assumptions</vt:lpstr>
      <vt:lpstr>CAPTABLE</vt:lpstr>
      <vt:lpstr>CAPTB</vt:lpstr>
      <vt:lpstr>CAPTB2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Singh</dc:creator>
  <cp:lastModifiedBy>Abhishek Singh</cp:lastModifiedBy>
  <dcterms:created xsi:type="dcterms:W3CDTF">2026-02-08T19:00:59Z</dcterms:created>
  <dcterms:modified xsi:type="dcterms:W3CDTF">2026-02-10T02:00:54Z</dcterms:modified>
</cp:coreProperties>
</file>